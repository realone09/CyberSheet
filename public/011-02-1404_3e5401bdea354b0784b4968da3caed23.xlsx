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\\192.168.100.2\Share\S.Foroozande\"/>
    </mc:Choice>
  </mc:AlternateContent>
  <xr:revisionPtr revIDLastSave="0" documentId="13_ncr:1_{78BA2439-A744-4092-BDF7-83B53C763D2D}" xr6:coauthVersionLast="45" xr6:coauthVersionMax="47" xr10:uidLastSave="{00000000-0000-0000-0000-000000000000}"/>
  <bookViews>
    <workbookView xWindow="-120" yWindow="-120" windowWidth="29040" windowHeight="15840" firstSheet="1" activeTab="3" xr2:uid="{00000000-000D-0000-FFFF-FFFF00000000}"/>
  </bookViews>
  <sheets>
    <sheet name="Jan.Feb.2025 " sheetId="1" r:id="rId1"/>
    <sheet name="March .2025 " sheetId="2" r:id="rId2"/>
    <sheet name="April.2025" sheetId="4" r:id="rId3"/>
    <sheet name="Jan.Feb.2025  (2)" sheetId="5" r:id="rId4"/>
  </sheets>
  <definedNames>
    <definedName name="_xlnm._FilterDatabase" localSheetId="0" hidden="1">'Jan.Feb.2025 '!$A$1:$AC$118</definedName>
    <definedName name="_xlnm._FilterDatabase" localSheetId="3" hidden="1">'Jan.Feb.2025  (2)'!$B$1:$AC$111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9" i="5" l="1"/>
  <c r="J29" i="5" s="1"/>
  <c r="W29" i="5"/>
  <c r="AC29" i="5" l="1"/>
  <c r="W111" i="5"/>
  <c r="H111" i="5"/>
  <c r="J111" i="5" s="1"/>
  <c r="W110" i="5"/>
  <c r="H110" i="5"/>
  <c r="J110" i="5" s="1"/>
  <c r="W109" i="5"/>
  <c r="H109" i="5"/>
  <c r="J109" i="5" s="1"/>
  <c r="W108" i="5"/>
  <c r="H108" i="5"/>
  <c r="J108" i="5" s="1"/>
  <c r="AC108" i="5" l="1"/>
  <c r="AC109" i="5"/>
  <c r="AC111" i="5"/>
  <c r="AC110" i="5"/>
  <c r="W25" i="5" l="1"/>
  <c r="W12" i="5"/>
  <c r="H107" i="5" l="1"/>
  <c r="J107" i="5" s="1"/>
  <c r="W4" i="5" l="1"/>
  <c r="W3" i="5"/>
  <c r="J3" i="5"/>
  <c r="W94" i="5" l="1"/>
  <c r="W93" i="5"/>
  <c r="W92" i="5"/>
  <c r="W91" i="5"/>
  <c r="W90" i="5"/>
  <c r="W89" i="5"/>
  <c r="W88" i="5"/>
  <c r="W87" i="5"/>
  <c r="W86" i="5"/>
  <c r="W85" i="5"/>
  <c r="W84" i="5"/>
  <c r="W83" i="5"/>
  <c r="W82" i="5"/>
  <c r="W81" i="5"/>
  <c r="W80" i="5"/>
  <c r="W79" i="5"/>
  <c r="W78" i="5"/>
  <c r="W77" i="5"/>
  <c r="W76" i="5"/>
  <c r="W75" i="5"/>
  <c r="W74" i="5"/>
  <c r="W73" i="5"/>
  <c r="W72" i="5"/>
  <c r="W71" i="5"/>
  <c r="W70" i="5"/>
  <c r="W69" i="5"/>
  <c r="W68" i="5"/>
  <c r="W67" i="5"/>
  <c r="W66" i="5"/>
  <c r="W65" i="5"/>
  <c r="W64" i="5"/>
  <c r="W63" i="5"/>
  <c r="W62" i="5"/>
  <c r="W61" i="5"/>
  <c r="W60" i="5"/>
  <c r="W59" i="5"/>
  <c r="W58" i="5"/>
  <c r="W57" i="5"/>
  <c r="W56" i="5"/>
  <c r="W55" i="5"/>
  <c r="W54" i="5"/>
  <c r="W53" i="5"/>
  <c r="W52" i="5"/>
  <c r="W51" i="5"/>
  <c r="W50" i="5"/>
  <c r="W49" i="5"/>
  <c r="H49" i="5"/>
  <c r="J49" i="5" s="1"/>
  <c r="W48" i="5"/>
  <c r="H48" i="5"/>
  <c r="J48" i="5" s="1"/>
  <c r="W47" i="5"/>
  <c r="H47" i="5"/>
  <c r="J47" i="5" s="1"/>
  <c r="AC46" i="5"/>
  <c r="W46" i="5"/>
  <c r="J46" i="5"/>
  <c r="W45" i="5"/>
  <c r="H45" i="5"/>
  <c r="J45" i="5" s="1"/>
  <c r="W44" i="5"/>
  <c r="H44" i="5"/>
  <c r="J44" i="5" s="1"/>
  <c r="W43" i="5"/>
  <c r="H43" i="5"/>
  <c r="J43" i="5" s="1"/>
  <c r="W42" i="5"/>
  <c r="H42" i="5"/>
  <c r="J42" i="5" s="1"/>
  <c r="W41" i="5"/>
  <c r="H41" i="5"/>
  <c r="J41" i="5" s="1"/>
  <c r="W40" i="5"/>
  <c r="H40" i="5"/>
  <c r="J40" i="5" s="1"/>
  <c r="W39" i="5"/>
  <c r="H39" i="5"/>
  <c r="J39" i="5" s="1"/>
  <c r="W38" i="5"/>
  <c r="H38" i="5"/>
  <c r="J38" i="5" s="1"/>
  <c r="AC37" i="5"/>
  <c r="W37" i="5"/>
  <c r="J37" i="5"/>
  <c r="W36" i="5"/>
  <c r="H36" i="5"/>
  <c r="J36" i="5" s="1"/>
  <c r="W35" i="5"/>
  <c r="J35" i="5"/>
  <c r="W34" i="5"/>
  <c r="J34" i="5"/>
  <c r="W33" i="5"/>
  <c r="H33" i="5"/>
  <c r="J33" i="5" s="1"/>
  <c r="W32" i="5"/>
  <c r="H32" i="5"/>
  <c r="J32" i="5" s="1"/>
  <c r="W31" i="5"/>
  <c r="H31" i="5"/>
  <c r="J31" i="5" s="1"/>
  <c r="W30" i="5"/>
  <c r="H30" i="5"/>
  <c r="J30" i="5" s="1"/>
  <c r="W28" i="5"/>
  <c r="H28" i="5"/>
  <c r="J28" i="5" s="1"/>
  <c r="W27" i="5"/>
  <c r="H27" i="5"/>
  <c r="J27" i="5" s="1"/>
  <c r="H25" i="5"/>
  <c r="J25" i="5" s="1"/>
  <c r="AC25" i="5" s="1"/>
  <c r="W24" i="5"/>
  <c r="H24" i="5"/>
  <c r="J24" i="5" s="1"/>
  <c r="W23" i="5"/>
  <c r="H23" i="5"/>
  <c r="J23" i="5" s="1"/>
  <c r="W22" i="5"/>
  <c r="H22" i="5"/>
  <c r="J22" i="5" s="1"/>
  <c r="W21" i="5"/>
  <c r="H21" i="5"/>
  <c r="J21" i="5" s="1"/>
  <c r="W20" i="5"/>
  <c r="H20" i="5"/>
  <c r="J20" i="5" s="1"/>
  <c r="AC19" i="5"/>
  <c r="H19" i="5"/>
  <c r="W18" i="5"/>
  <c r="H18" i="5"/>
  <c r="J18" i="5" s="1"/>
  <c r="W17" i="5"/>
  <c r="H17" i="5"/>
  <c r="J17" i="5" s="1"/>
  <c r="W16" i="5"/>
  <c r="H16" i="5"/>
  <c r="J16" i="5" s="1"/>
  <c r="W15" i="5"/>
  <c r="H15" i="5"/>
  <c r="J15" i="5" s="1"/>
  <c r="W14" i="5"/>
  <c r="H14" i="5"/>
  <c r="J14" i="5" s="1"/>
  <c r="W13" i="5"/>
  <c r="H13" i="5"/>
  <c r="J13" i="5" s="1"/>
  <c r="H12" i="5"/>
  <c r="J12" i="5" s="1"/>
  <c r="W11" i="5"/>
  <c r="H11" i="5"/>
  <c r="J11" i="5" s="1"/>
  <c r="W10" i="5"/>
  <c r="H10" i="5"/>
  <c r="J10" i="5" s="1"/>
  <c r="W9" i="5"/>
  <c r="H9" i="5"/>
  <c r="J9" i="5" s="1"/>
  <c r="W8" i="5"/>
  <c r="H8" i="5"/>
  <c r="J8" i="5" s="1"/>
  <c r="H7" i="5"/>
  <c r="W107" i="5"/>
  <c r="W6" i="5"/>
  <c r="J6" i="5"/>
  <c r="W5" i="5"/>
  <c r="H5" i="5"/>
  <c r="H4" i="5"/>
  <c r="J4" i="5" s="1"/>
  <c r="J52" i="5" s="1"/>
  <c r="W125" i="4"/>
  <c r="AC20" i="5" l="1"/>
  <c r="AC9" i="5"/>
  <c r="AC6" i="5"/>
  <c r="AC14" i="5"/>
  <c r="AC34" i="5"/>
  <c r="AC35" i="5"/>
  <c r="AC15" i="5"/>
  <c r="AC42" i="5"/>
  <c r="AC43" i="5"/>
  <c r="AC24" i="5"/>
  <c r="AC44" i="5"/>
  <c r="AC16" i="5"/>
  <c r="AC36" i="5"/>
  <c r="AC45" i="5"/>
  <c r="AC107" i="5"/>
  <c r="AC17" i="5"/>
  <c r="AC27" i="5"/>
  <c r="AC8" i="5"/>
  <c r="AC18" i="5"/>
  <c r="AC28" i="5"/>
  <c r="AC38" i="5"/>
  <c r="AC47" i="5"/>
  <c r="AC39" i="5"/>
  <c r="AC48" i="5"/>
  <c r="AC30" i="5"/>
  <c r="AC40" i="5"/>
  <c r="AC49" i="5"/>
  <c r="AC21" i="5"/>
  <c r="AC31" i="5"/>
  <c r="AC41" i="5"/>
  <c r="AC22" i="5"/>
  <c r="AC32" i="5"/>
  <c r="AC3" i="5"/>
  <c r="AC13" i="5"/>
  <c r="AC23" i="5"/>
  <c r="AC33" i="5"/>
  <c r="AC10" i="5"/>
  <c r="AC11" i="5"/>
  <c r="W96" i="5"/>
  <c r="J5" i="5"/>
  <c r="AC5" i="5" s="1"/>
  <c r="W124" i="4"/>
  <c r="W123" i="4"/>
  <c r="H3" i="1"/>
  <c r="J6" i="1" l="1"/>
  <c r="J35" i="1"/>
  <c r="J36" i="1"/>
  <c r="J38" i="1"/>
  <c r="J47" i="1"/>
  <c r="W4" i="1"/>
  <c r="W5" i="1"/>
  <c r="W6" i="1"/>
  <c r="W7" i="1"/>
  <c r="W9" i="1"/>
  <c r="W10" i="1"/>
  <c r="W11" i="1"/>
  <c r="W12" i="1"/>
  <c r="W14" i="1"/>
  <c r="W15" i="1"/>
  <c r="W16" i="1"/>
  <c r="W17" i="1"/>
  <c r="W18" i="1"/>
  <c r="W19" i="1"/>
  <c r="W21" i="1"/>
  <c r="W22" i="1"/>
  <c r="W23" i="1"/>
  <c r="W24" i="1"/>
  <c r="W25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3" i="1"/>
  <c r="H41" i="1"/>
  <c r="J41" i="1" s="1"/>
  <c r="W124" i="1" l="1"/>
  <c r="W125" i="1"/>
  <c r="W123" i="1"/>
  <c r="W97" i="1"/>
  <c r="AC35" i="1"/>
  <c r="AC6" i="1"/>
  <c r="H4" i="1"/>
  <c r="H5" i="1"/>
  <c r="J5" i="1" s="1"/>
  <c r="H7" i="1"/>
  <c r="H8" i="1"/>
  <c r="H9" i="1"/>
  <c r="H10" i="1"/>
  <c r="H11" i="1"/>
  <c r="H12" i="1"/>
  <c r="H13" i="1"/>
  <c r="J13" i="1" s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AC36" i="1"/>
  <c r="H37" i="1"/>
  <c r="H39" i="1"/>
  <c r="H40" i="1"/>
  <c r="AC41" i="1"/>
  <c r="H42" i="1"/>
  <c r="H43" i="1"/>
  <c r="J43" i="1" s="1"/>
  <c r="H44" i="1"/>
  <c r="J44" i="1" s="1"/>
  <c r="H45" i="1"/>
  <c r="H46" i="1"/>
  <c r="H48" i="1"/>
  <c r="J48" i="1" s="1"/>
  <c r="H49" i="1"/>
  <c r="H50" i="1"/>
  <c r="J3" i="1"/>
  <c r="AC3" i="1" l="1"/>
  <c r="J9" i="1"/>
  <c r="AC9" i="1" s="1"/>
  <c r="J7" i="1"/>
  <c r="AC7" i="1" s="1"/>
  <c r="J22" i="1"/>
  <c r="AC22" i="1" s="1"/>
  <c r="J42" i="1"/>
  <c r="AC42" i="1" s="1"/>
  <c r="J40" i="1"/>
  <c r="AC40" i="1" s="1"/>
  <c r="J17" i="1"/>
  <c r="AC17" i="1" s="1"/>
  <c r="J14" i="1"/>
  <c r="AC14" i="1" s="1"/>
  <c r="J32" i="1"/>
  <c r="AC32" i="1" s="1"/>
  <c r="J31" i="1"/>
  <c r="AC31" i="1" s="1"/>
  <c r="J29" i="1"/>
  <c r="AC29" i="1" s="1"/>
  <c r="J21" i="1"/>
  <c r="AC21" i="1" s="1"/>
  <c r="J19" i="1"/>
  <c r="AC19" i="1" s="1"/>
  <c r="J18" i="1"/>
  <c r="AC18" i="1" s="1"/>
  <c r="J16" i="1"/>
  <c r="AC16" i="1" s="1"/>
  <c r="J34" i="1"/>
  <c r="AC34" i="1" s="1"/>
  <c r="J33" i="1"/>
  <c r="AC33" i="1" s="1"/>
  <c r="J12" i="1"/>
  <c r="AC12" i="1" s="1"/>
  <c r="J11" i="1"/>
  <c r="AC11" i="1" s="1"/>
  <c r="J30" i="1"/>
  <c r="AC30" i="1" s="1"/>
  <c r="J10" i="1"/>
  <c r="AC10" i="1" s="1"/>
  <c r="J28" i="1"/>
  <c r="AC28" i="1" s="1"/>
  <c r="AC27" i="1"/>
  <c r="J27" i="1"/>
  <c r="J49" i="1"/>
  <c r="AC49" i="1" s="1"/>
  <c r="J4" i="1"/>
  <c r="AC4" i="1" s="1"/>
  <c r="J39" i="1"/>
  <c r="AC39" i="1" s="1"/>
  <c r="J15" i="1"/>
  <c r="AC15" i="1" s="1"/>
  <c r="J25" i="1"/>
  <c r="AC25" i="1" s="1"/>
  <c r="J46" i="1"/>
  <c r="AC46" i="1" s="1"/>
  <c r="J24" i="1"/>
  <c r="AC24" i="1" s="1"/>
  <c r="AC20" i="1"/>
  <c r="J37" i="1"/>
  <c r="AC37" i="1" s="1"/>
  <c r="J50" i="1"/>
  <c r="AC50" i="1" s="1"/>
  <c r="J45" i="1"/>
  <c r="AC45" i="1" s="1"/>
  <c r="J23" i="1"/>
  <c r="AC23" i="1" s="1"/>
  <c r="AC5" i="1"/>
  <c r="K5" i="1"/>
  <c r="AC47" i="1"/>
  <c r="AC38" i="1"/>
  <c r="AC48" i="1"/>
  <c r="AC44" i="1"/>
  <c r="AC43" i="1"/>
  <c r="J53" i="1" l="1"/>
</calcChain>
</file>

<file path=xl/sharedStrings.xml><?xml version="1.0" encoding="utf-8"?>
<sst xmlns="http://schemas.openxmlformats.org/spreadsheetml/2006/main" count="1647" uniqueCount="853">
  <si>
    <t>قیمت قبل</t>
  </si>
  <si>
    <t>Product</t>
  </si>
  <si>
    <t xml:space="preserve">Qty </t>
  </si>
  <si>
    <t xml:space="preserve">Manufacture </t>
  </si>
  <si>
    <t xml:space="preserve">Price </t>
  </si>
  <si>
    <t xml:space="preserve">Comment </t>
  </si>
  <si>
    <t>FILE NO. OLD</t>
  </si>
  <si>
    <t>P.I OLD</t>
  </si>
  <si>
    <t>HS</t>
  </si>
  <si>
    <t>IVC</t>
  </si>
  <si>
    <t>Price  CNY</t>
  </si>
  <si>
    <t xml:space="preserve">  Zhechem 18.NOV.2024</t>
  </si>
  <si>
    <t xml:space="preserve">  FEI DING 18.NOV.2024</t>
  </si>
  <si>
    <t>CNY/CFR</t>
  </si>
  <si>
    <t xml:space="preserve">ALBENDAZOLE </t>
  </si>
  <si>
    <t>INNER MONGOLIA QUALITY HORIZONS PHARMACEUTICAL Co. LTD.</t>
  </si>
  <si>
    <t>RC24G23E022</t>
  </si>
  <si>
    <t>Albendazole Current USP</t>
  </si>
  <si>
    <t>Inner Mongolia Quality Horizones Pharmaceutical Co., Ltd., China</t>
  </si>
  <si>
    <t>24HR05194</t>
  </si>
  <si>
    <t>AMOXICILIN TRIHYDRATE</t>
  </si>
  <si>
    <t>North China Pharmaceutical Group Semisyntech Co., Ltd., China</t>
  </si>
  <si>
    <t>RC23G23E145</t>
  </si>
  <si>
    <t>Sinopharm Weiqida Pharmaceutical Co., Ltd., China</t>
  </si>
  <si>
    <t>24HR05273</t>
  </si>
  <si>
    <t xml:space="preserve">AMPROLIUM HCL </t>
  </si>
  <si>
    <t>ZHEJIANG K-SHENG BIO-PHARM CO., LTD.</t>
  </si>
  <si>
    <t>RC24G23E265</t>
  </si>
  <si>
    <t>Amprolium HCL USP 43</t>
  </si>
  <si>
    <t>Zhejiang Dayang Biotech Group Co., Ltd., China</t>
  </si>
  <si>
    <t>24HR07300</t>
  </si>
  <si>
    <t>BACITRACIN METHYLEN DISALICYLATE SOLUBLE POWDER</t>
  </si>
  <si>
    <t>Lifecome Biochemistry Co., Ltd., China</t>
  </si>
  <si>
    <t>Bacitracin Methylene Disalicylate Soluble Powder USP-NF 2023</t>
  </si>
  <si>
    <t>24HR05196</t>
  </si>
  <si>
    <t xml:space="preserve">CHLORTETRACYCLINE HCL </t>
  </si>
  <si>
    <t>Fujian Fukang Pharmaceutical Co., Ltd., China</t>
  </si>
  <si>
    <t>RC24G23E184</t>
  </si>
  <si>
    <t>Chlortetracycline HCL EP 10.1</t>
  </si>
  <si>
    <t>24HR05197</t>
  </si>
  <si>
    <t>CLOPIDOL</t>
  </si>
  <si>
    <t>Nantong Acetic Acid Chemical Co., Ltd., China</t>
  </si>
  <si>
    <t xml:space="preserve">هنوز کارخانه ای پیدا نکردیم و قیمت هم نمیتوانیم بدهیم </t>
  </si>
  <si>
    <t>RC24G23E185</t>
  </si>
  <si>
    <t>Clopidol CPV 2010</t>
  </si>
  <si>
    <t> No price </t>
  </si>
  <si>
    <t> No production</t>
  </si>
  <si>
    <t>24HR05198</t>
  </si>
  <si>
    <t>CLOSANTEL SODIUM DIHYDRATE</t>
  </si>
  <si>
    <t>CHANGZHOU YABANG-QH PHARMACHEM CO., LTD.</t>
  </si>
  <si>
    <t>RC24G23E269</t>
  </si>
  <si>
    <t>Changzhou Yabang-QH Pharmachem Co., Ltd., China</t>
  </si>
  <si>
    <t>CNY/FOB</t>
  </si>
  <si>
    <t> Hazardous chemical</t>
  </si>
  <si>
    <t>24HR07316</t>
  </si>
  <si>
    <t>COLISTIN SULPHATE</t>
  </si>
  <si>
    <t>Livzon Group Fuzhou Fuxing Pharmaceutical Co., Ltd., China</t>
  </si>
  <si>
    <t>RC24G23E186</t>
  </si>
  <si>
    <t>Colistin Sulphate EP 11</t>
  </si>
  <si>
    <t>24HR11406</t>
  </si>
  <si>
    <t>DICLAZURIL5%</t>
  </si>
  <si>
    <t xml:space="preserve">Shandong Qilu King-phar Pharmaceutical Co., Ltd., China </t>
  </si>
  <si>
    <t>RC24G23E187</t>
  </si>
  <si>
    <t xml:space="preserve">Shandong Luxi Animal Medicine Share Co., Ltd., China </t>
  </si>
  <si>
    <t>24LW08346</t>
  </si>
  <si>
    <t>DINITOLMIDE CPV2020</t>
  </si>
  <si>
    <t>Zhejiang Esigma Animal Health Co., Ltd., China</t>
  </si>
  <si>
    <t>RC24G23E255</t>
  </si>
  <si>
    <t>24HR05202</t>
  </si>
  <si>
    <t>DOXYCYCLINE HYCLATE</t>
  </si>
  <si>
    <t>YANGZHOU LIBERTY PHARMACEUTICAL CO., LTD.</t>
  </si>
  <si>
    <t>RC24G23E270</t>
  </si>
  <si>
    <t>Kunshan Chemical &amp; Pharmaceutical Co., Ltd., China</t>
  </si>
  <si>
    <t xml:space="preserve">قیمت نداریم </t>
  </si>
  <si>
    <t xml:space="preserve">جنس خیلی کمبود است </t>
  </si>
  <si>
    <t>24HR05203</t>
  </si>
  <si>
    <t xml:space="preserve">ENROFLOXACIN </t>
  </si>
  <si>
    <t>Zhejiang Guobang Pharmaceutical Co., Ltd., China</t>
  </si>
  <si>
    <t>RC24G23E190</t>
  </si>
  <si>
    <t>24HR05204</t>
  </si>
  <si>
    <t>ENROFLOXACIN SODIUM</t>
  </si>
  <si>
    <t>SHANGYU JINGXIN PHARMACEUTICAL Co. LTD.</t>
  </si>
  <si>
    <t>RC24G23E113</t>
  </si>
  <si>
    <t>Shangyu Jingxin Pharmaceutical Co., Ltd., China</t>
  </si>
  <si>
    <t>24HR01064</t>
  </si>
  <si>
    <t xml:space="preserve">ERYTHROMYCIN THIOCYANATE </t>
  </si>
  <si>
    <t>HEC Pharm Co., Ltd., China</t>
  </si>
  <si>
    <t>RC24G23E191</t>
  </si>
  <si>
    <t>24HR11407</t>
  </si>
  <si>
    <t>Euro/CFR</t>
  </si>
  <si>
    <t>ETHOPABATE BP 2014</t>
  </si>
  <si>
    <t>ZHEGIANG ESIGMA ANIMAL HEALTH CO LTD.</t>
  </si>
  <si>
    <t>RC23G23E119</t>
  </si>
  <si>
    <t>CNY/FCA</t>
  </si>
  <si>
    <t>ETHOPABATE BP 2014 ( BY SHIP )</t>
  </si>
  <si>
    <t>Zhejiang Esigma Biotechnology Co., Ltd., China</t>
  </si>
  <si>
    <t>24HR07315</t>
  </si>
  <si>
    <t>FENBENDAZOLE</t>
  </si>
  <si>
    <t>CHANGZHOU YABANG-QH PHARMACHEM CO.,LTD.</t>
  </si>
  <si>
    <t>RC23G23E121</t>
  </si>
  <si>
    <t xml:space="preserve">Fenbendazole EP          </t>
  </si>
  <si>
    <t xml:space="preserve">Lianyungang Yahui Pharmachem Co., Ltd., China </t>
  </si>
  <si>
    <t>23HR05092</t>
  </si>
  <si>
    <t xml:space="preserve">FLUNIXIN MEGLUMINE </t>
  </si>
  <si>
    <t>QILU SYNVA PHARMACEUTICAL Co. Ltd.</t>
  </si>
  <si>
    <t>RC24G23E140</t>
  </si>
  <si>
    <t>Flunixin Meglumine USP 43</t>
  </si>
  <si>
    <t>Qilu Synva Pharmaceutical Co., Ltd., China</t>
  </si>
  <si>
    <t>24HR07304</t>
  </si>
  <si>
    <t>FOSFOMYCIN CALCIUM</t>
  </si>
  <si>
    <t>NORTHEAST PHARMACEUTICAL GROUP CO., LTD.</t>
  </si>
  <si>
    <t>RC24G23E283</t>
  </si>
  <si>
    <t>Northeast Pharmaceutical Group Co., Ltd., China</t>
  </si>
  <si>
    <t>24LW10396</t>
  </si>
  <si>
    <t>GLUTARALDEHYDE 50%</t>
  </si>
  <si>
    <t>Laohekou Jinghong Chemical Co., Ltd., China</t>
  </si>
  <si>
    <t>24HR05274</t>
  </si>
  <si>
    <t xml:space="preserve">GUAIFENESIN </t>
  </si>
  <si>
    <t>ZHEJIANG HAIZHOU PHARMACEUTICAL CO., LTD.</t>
  </si>
  <si>
    <t>RC24G23E272</t>
  </si>
  <si>
    <t>Guaifenesin USP-NF 2022</t>
  </si>
  <si>
    <t>Zhejiang Haizhou Pharmaceutical Co., Ltd., China</t>
  </si>
  <si>
    <t>24LW08349</t>
  </si>
  <si>
    <t xml:space="preserve">L ARGININE BASE </t>
  </si>
  <si>
    <t>Hubei Provincial Bafeng Pharmaceutical &amp; Chemicals Share Co., Ltd., China</t>
  </si>
  <si>
    <t>RC24G23E231</t>
  </si>
  <si>
    <t>L-Arginine Base USP 42</t>
  </si>
  <si>
    <t>24HR11413</t>
  </si>
  <si>
    <t>KAIYUAN HENGTAI NUTRITION CO.,LTD.</t>
  </si>
  <si>
    <t>RC24G23E273</t>
  </si>
  <si>
    <t>L-Carnitine HCL in-house</t>
  </si>
  <si>
    <t>Kaiyuan Hengtai Nutrition Co., Ltd., China</t>
  </si>
  <si>
    <t>24HR02117</t>
  </si>
  <si>
    <t>LEVAMISOLE HCL</t>
  </si>
  <si>
    <t>RC24G23E232</t>
  </si>
  <si>
    <t>Levamisole HCL BP 2022</t>
  </si>
  <si>
    <t>24HR05212</t>
  </si>
  <si>
    <t>TOPFOND PHARMACEUTICAL Co. LTD.</t>
  </si>
  <si>
    <t xml:space="preserve">متاسفانه هنوز قیمت نداریم </t>
  </si>
  <si>
    <t>RC24G23E233</t>
  </si>
  <si>
    <t>Lincomycin HCL USP 43</t>
  </si>
  <si>
    <t>Topfond Pharmaceutical Co., Ltd., China</t>
  </si>
  <si>
    <t> No price</t>
  </si>
  <si>
    <t>24LW08350</t>
  </si>
  <si>
    <t>MADURAMICIN AMMONIUM5%</t>
  </si>
  <si>
    <t>Shandong Qilu King-phar Pharmaceutical Co., Ltd., China</t>
  </si>
  <si>
    <t>RC24G23E258</t>
  </si>
  <si>
    <t>24LW08351</t>
  </si>
  <si>
    <t xml:space="preserve">MARBOFLOXACIN </t>
  </si>
  <si>
    <t>RC24G23E234</t>
  </si>
  <si>
    <t>Marbofloxacin EP 11 ( BY SHIP )</t>
  </si>
  <si>
    <t>24HR07320</t>
  </si>
  <si>
    <t>MONENSIN SODIUM30%</t>
  </si>
  <si>
    <t>RC24G23E236</t>
  </si>
  <si>
    <t>24HR05218</t>
  </si>
  <si>
    <t xml:space="preserve">N METHYL PYRROLIDONE </t>
  </si>
  <si>
    <t>Shanghai Yuking Water Soluble Material Tech. Co. Ltd., China</t>
  </si>
  <si>
    <t>RC24G23E019</t>
  </si>
  <si>
    <t>N Methyl Pyrrolidone</t>
  </si>
  <si>
    <t>Shanghai Yuking Water Soluble Material Tech Co., Ltd., China</t>
  </si>
  <si>
    <t>24HR07308</t>
  </si>
  <si>
    <t>NEOMYCIN SULPHATE</t>
  </si>
  <si>
    <t>Sanxia Pharmaceutical (Hubei Yichang Xiaoting) Co., Ltd.</t>
  </si>
  <si>
    <t>RC24G23E237</t>
  </si>
  <si>
    <t>Neomycin Sulphate USP 43</t>
  </si>
  <si>
    <t>Yichang Sanxia Pharmaceutical Co., Ltd., China</t>
  </si>
  <si>
    <t> Sanxia Pharmaceutical (Hebei yichang Xiaoting) Co., Ltd.</t>
  </si>
  <si>
    <t>24HR05220</t>
  </si>
  <si>
    <t>NICARBAZINE</t>
  </si>
  <si>
    <t>GUANGZHOU HAICHENG PHARMACEUTICAL CO., LTD.</t>
  </si>
  <si>
    <t>RC24G23E274</t>
  </si>
  <si>
    <t>Guangzhou Haicheng Pharmaceutical Co., Ltd., China</t>
  </si>
  <si>
    <t>24HR05221</t>
  </si>
  <si>
    <t>NICLOSAMIDE MONOETHANOLAMINE SALT</t>
  </si>
  <si>
    <t>WUJIANG LUOSEN CHEMICALS CO. LTD.</t>
  </si>
  <si>
    <t>RC24G23E238</t>
  </si>
  <si>
    <t>Niclosamide Monoethanolamine</t>
  </si>
  <si>
    <t>Wujiang Luosen Chemicals Co., Ltd., China</t>
  </si>
  <si>
    <t>24HR05222</t>
  </si>
  <si>
    <t xml:space="preserve">NICOTINAMIDE </t>
  </si>
  <si>
    <t>TIANJIN ZHONGRUI PHARMACEUTICAL CO., LTD.</t>
  </si>
  <si>
    <t>RC24G23E250</t>
  </si>
  <si>
    <t>Nicotinamide BP 2015</t>
  </si>
  <si>
    <t>Tianjin Zhongrui Pharmaceutical Co., Ltd., China</t>
  </si>
  <si>
    <t> Price will be up very soon</t>
  </si>
  <si>
    <t>24HR05223</t>
  </si>
  <si>
    <t xml:space="preserve">OCALIPTUS OIL ESSENCE </t>
  </si>
  <si>
    <t>Anhui Fengle Perfume Co., Ltd., China</t>
  </si>
  <si>
    <t>Ocaliptus Oil Essence BP/USP</t>
  </si>
  <si>
    <t>24LW08353</t>
  </si>
  <si>
    <t>INNER MONGOLIA HUASHU BIOLOGICAL TECHNOLOGY Co. LTD.</t>
  </si>
  <si>
    <t>RC24G23E239</t>
  </si>
  <si>
    <t>Oxytetracycline Dihydrate USP 40</t>
  </si>
  <si>
    <t>inner Mongolia Huashu Biological Technology</t>
  </si>
  <si>
    <t>24HR05225</t>
  </si>
  <si>
    <t>OXYTETRACYCLINE DIHYDRATE INJ ( BY SHIP )</t>
  </si>
  <si>
    <t>RC24G23E264</t>
  </si>
  <si>
    <t>Oxytetracycline Dihydrate injectable EP 11</t>
  </si>
  <si>
    <t>Sichuan Long March Pharmaceutical Co., Ltd., China</t>
  </si>
  <si>
    <t>24HR10386</t>
  </si>
  <si>
    <t>Yancheng Dafeng Area Tiansheng Joint Pharmaceutical Co., Ltd.,   China</t>
  </si>
  <si>
    <t>RC24G23E091</t>
  </si>
  <si>
    <t>Oxytetracycline HCL BP 2023</t>
  </si>
  <si>
    <t>24HR05227</t>
  </si>
  <si>
    <t>ROBENIDINE HYDROCHLORIDE10%</t>
  </si>
  <si>
    <t>ZHEJIANG ESIGMA ANIMAL HEALTH CO., LTD.</t>
  </si>
  <si>
    <t>RC24G23E275</t>
  </si>
  <si>
    <t>Robenidine HCL 10%</t>
  </si>
  <si>
    <t>24LW08354</t>
  </si>
  <si>
    <t>SALINOMYCIN SODIUM24%</t>
  </si>
  <si>
    <t>Shadong Qilu King-Phar Pharmaceutical Co., Ltd.</t>
  </si>
  <si>
    <t>RC24G23E241</t>
  </si>
  <si>
    <t>24HR06289</t>
  </si>
  <si>
    <t>SODIUM ASCORBATE</t>
  </si>
  <si>
    <t>RC24G23E120</t>
  </si>
  <si>
    <t>Sodium Ascorbate USP 2020</t>
  </si>
  <si>
    <t>24HR02124</t>
  </si>
  <si>
    <t>SODIUM SALICYLATE</t>
  </si>
  <si>
    <t>JQC (Hua Yin) Pharmaceutical Co., Ltd., China</t>
  </si>
  <si>
    <t>RC24G23E242</t>
  </si>
  <si>
    <t>Sodium Salicylate USP-NF 2023</t>
  </si>
  <si>
    <t>24HR02126</t>
  </si>
  <si>
    <t xml:space="preserve">SPECTINOMYCIN SULPHATE </t>
  </si>
  <si>
    <t>SHANDONG LUKANG PHARMACEUTICAL CO.,LTD.</t>
  </si>
  <si>
    <t>RC24G23E276</t>
  </si>
  <si>
    <t>Shandong Lukang Pharmaceutical Co., Ltd., China</t>
  </si>
  <si>
    <t xml:space="preserve">جنس بعد فوریه 2025 اماده میشود </t>
  </si>
  <si>
    <t>24LW08355</t>
  </si>
  <si>
    <t>SULFADIAZINE SODIUM</t>
  </si>
  <si>
    <t>SUZHOU WUGAN PHARMACEUTICAL Co. LTD.</t>
  </si>
  <si>
    <t>RC24G23E244</t>
  </si>
  <si>
    <t>Sulfadiazine Sodium USP 42</t>
  </si>
  <si>
    <t>Suzhou Wugan Chemicals Co.,Ltd., China</t>
  </si>
  <si>
    <t>24HR05232</t>
  </si>
  <si>
    <t xml:space="preserve">THIAMINE HYDROCHLORIDE </t>
  </si>
  <si>
    <t>Jiangxi Tianxin Pharmaceutical Co., Ltd., China</t>
  </si>
  <si>
    <t>RC24G23E251</t>
  </si>
  <si>
    <t>Tiamulin Hydrogen Fumarate 98% Current USP</t>
  </si>
  <si>
    <t>Shandong Shengli Corporation Limited</t>
  </si>
  <si>
    <t>RC24G23E247</t>
  </si>
  <si>
    <t>Shandong Shengli Bioengineering Co., Ltd., China (Shandong Shengli Co., Ltd., China)</t>
  </si>
  <si>
    <t>24HR05235</t>
  </si>
  <si>
    <t>TOLTRAZURIL</t>
  </si>
  <si>
    <t>HUBEI LONGXIANG PHARMACEUTICAL TECH.CO.,LTD</t>
  </si>
  <si>
    <t xml:space="preserve"> 1200/KG (خلوص پایین ) and  880/KG (پودر معمولی )</t>
  </si>
  <si>
    <t>RC23G23E134</t>
  </si>
  <si>
    <t>TOLTRAZURIL ( BY SHIP )</t>
  </si>
  <si>
    <t>Jiangsu Lingyun Pharmaceutical Co.Ltd., China</t>
  </si>
  <si>
    <t>24HR10392</t>
  </si>
  <si>
    <t xml:space="preserve">TYLOSIN BASE </t>
  </si>
  <si>
    <t>SHANDONG LUKANG SHELILE PHARMACEUTICAL CO., LTD.</t>
  </si>
  <si>
    <t>RC23G23E371</t>
  </si>
  <si>
    <t>Tylosin Base EP 9</t>
  </si>
  <si>
    <t xml:space="preserve">Shandong Lukang Shelile Pharmaceutical Co., Ltd., China </t>
  </si>
  <si>
    <t>24HR07303</t>
  </si>
  <si>
    <t xml:space="preserve">TYLOSIN PHOSPHATE GRANULE </t>
  </si>
  <si>
    <t>RC24G23E278</t>
  </si>
  <si>
    <t>Shandong Lukang Shelile Pharmaceutical Co., Ltd., China</t>
  </si>
  <si>
    <t>24HR10385</t>
  </si>
  <si>
    <t>VITAMIN B6</t>
  </si>
  <si>
    <t>Jiangxi Tianxin Pharmaceutical Co. Ltd.</t>
  </si>
  <si>
    <t>RC24G23E106</t>
  </si>
  <si>
    <t>Vitamin B6 USP 2022</t>
  </si>
  <si>
    <t>23HR08206</t>
  </si>
  <si>
    <t xml:space="preserve">L-Tryptophan USP 2024 </t>
  </si>
  <si>
    <t>Hubei Provincial Bafeng Pharmaceuticals &amp; Chemicals Share Co., Ltd., China</t>
  </si>
  <si>
    <t>24HR05270</t>
  </si>
  <si>
    <t>Euro/FCA</t>
  </si>
  <si>
    <t>Diclazuril 100% ( BY AIR )</t>
  </si>
  <si>
    <t>22HR04060Z</t>
  </si>
  <si>
    <t>ETHYL LACTATE</t>
  </si>
  <si>
    <t>Henan Jindan Lactic Acid Technology Co., Ltd., China</t>
  </si>
  <si>
    <t>24HR01086</t>
  </si>
  <si>
    <t>PINE OIL - ( BY SHIP )</t>
  </si>
  <si>
    <t>Fujian Sanming Yuanyi Perfumary Co., Ltd., China</t>
  </si>
  <si>
    <t>24HR01062</t>
  </si>
  <si>
    <t xml:space="preserve">GLYOXAL 40%INDUSTRIAL GRADE </t>
  </si>
  <si>
    <t>Hubei Hongyuan Pharmaceutical Technology Co., Ltd., China</t>
  </si>
  <si>
    <t>24HR01084</t>
  </si>
  <si>
    <t>SULFAMETHOXAZOLE</t>
  </si>
  <si>
    <t>Shouguang Fukang Pharmaceutical Co., Ltd., China</t>
  </si>
  <si>
    <t>24HR11415</t>
  </si>
  <si>
    <t>MAGNESIUM SULPHATE HEPATAHYDRATE</t>
  </si>
  <si>
    <t>Hebei Best Pharmaceuticals Co., Ltd, China</t>
  </si>
  <si>
    <t>24HR01044</t>
  </si>
  <si>
    <t>ORMETOPRIM ( BY AIR )</t>
  </si>
  <si>
    <t xml:space="preserve">Jiangsu Tianhe Pharmaceutical Co.,Ltd., </t>
  </si>
  <si>
    <t>21HR09303Z</t>
  </si>
  <si>
    <t>Metoclopramide HCL EP 10.0 ( BY AIR )</t>
  </si>
  <si>
    <t>Liaoyuan Silver Eagle Pharmaceutical Co., Ltd., China</t>
  </si>
  <si>
    <t>24HR07305</t>
  </si>
  <si>
    <t>DIOCTYL DIMETHYL AMMONIUM CHLORIDE</t>
  </si>
  <si>
    <t>Rhodia Feixiang Specialty Chemicals Co., Ltd., China</t>
  </si>
  <si>
    <t>24HR01067</t>
  </si>
  <si>
    <t>TERPINOL OIL</t>
  </si>
  <si>
    <t>China Fujian Sanming Yuanyi Perfumary Co., Ltd.</t>
  </si>
  <si>
    <t>24HR05252</t>
  </si>
  <si>
    <t>EDTA Disodium Salt</t>
  </si>
  <si>
    <t>N.C.I. Group Co., Ltd., China</t>
  </si>
  <si>
    <t>24HR01037</t>
  </si>
  <si>
    <t>Vitamin K3 MSB 96</t>
  </si>
  <si>
    <t>Brother Enterprises Holding Co., Ltd., China</t>
  </si>
  <si>
    <t> EUR/FOB</t>
  </si>
  <si>
    <t>24HR02136</t>
  </si>
  <si>
    <t>ARTICHOKE</t>
  </si>
  <si>
    <t>Guilin Layn Natural Ingredients Corp., China</t>
  </si>
  <si>
    <t>24HR07290</t>
  </si>
  <si>
    <t>Vitamin A Acetate 0.5 miu/g 500000 IU/G</t>
  </si>
  <si>
    <t>Xiamen Kingdomway Group Company, China</t>
  </si>
  <si>
    <t>19HR02084</t>
  </si>
  <si>
    <t>Betaine HCL USP 40</t>
  </si>
  <si>
    <t>Healthy (Hangzhou) Husbandry Sci-Tech Co., Ltd., China</t>
  </si>
  <si>
    <t>24HR05256</t>
  </si>
  <si>
    <t>CHOLINE CHLORIDE 70%</t>
  </si>
  <si>
    <t>Shandong NB Group Co., Ltd., China</t>
  </si>
  <si>
    <t>24HR05255</t>
  </si>
  <si>
    <t>Moulded Glass Vials USP Type II 20 ml Amber for Injection</t>
  </si>
  <si>
    <t>Shandong Pharmaceutical Glass Co.Ltd., China</t>
  </si>
  <si>
    <t>CNY/1000 p</t>
  </si>
  <si>
    <t>24HR01097</t>
  </si>
  <si>
    <t>Pimpinella Anisunm  10:1</t>
  </si>
  <si>
    <t>Shaanxi Jiahe Phytochem Co., Ltd., China</t>
  </si>
  <si>
    <t>24HR01055</t>
  </si>
  <si>
    <t>DECYL OCTYL DIMETHYL AMMONIUM CHLORIDE</t>
  </si>
  <si>
    <t>24HR01069</t>
  </si>
  <si>
    <t>Oxyclozanid BP 2023</t>
  </si>
  <si>
    <t>24HR07322</t>
  </si>
  <si>
    <t>IMIDOCARB DIPROPIONATE ( BY AIR )</t>
  </si>
  <si>
    <t>21HR12434</t>
  </si>
  <si>
    <t>Gamithromycin in-house ( BY AIR )</t>
  </si>
  <si>
    <t>Hebei Jingzhong Biologic Technology Co., Ltd., China</t>
  </si>
  <si>
    <t>24HR01030</t>
  </si>
  <si>
    <t>DORAMECTIN</t>
  </si>
  <si>
    <t>Livzon New North River Pharmaceutical Co., Ltd., China</t>
  </si>
  <si>
    <t>21HR05130</t>
  </si>
  <si>
    <t>SPIRAMYCIN ADIPOT( BY AIR )</t>
  </si>
  <si>
    <t>24HR07307</t>
  </si>
  <si>
    <t>Benzyl Alcohol USP 32</t>
  </si>
  <si>
    <t>Hubei Greenhome Materials Technology, Inc. China</t>
  </si>
  <si>
    <t>24HR05258</t>
  </si>
  <si>
    <t>PHENYLBUTAZONE EP11</t>
  </si>
  <si>
    <t>Nantong Jinghua Pharmaceutical Co. Ltd., China</t>
  </si>
  <si>
    <t>24HR07310</t>
  </si>
  <si>
    <t>2-Pyrrolidone EP 11</t>
  </si>
  <si>
    <t>Boai NKY Pharmaceuticals Co., Ltd., China</t>
  </si>
  <si>
    <t>24HR07306</t>
  </si>
  <si>
    <t>DIDECYL DIMETHYL AMMONIUM CHLORIDE</t>
  </si>
  <si>
    <t> Hazardous chemical in one container</t>
  </si>
  <si>
    <t>24HR05244</t>
  </si>
  <si>
    <t>Tilmicosin Base USP 40</t>
  </si>
  <si>
    <t>24HR07317</t>
  </si>
  <si>
    <t>Glycerol Formal BP 2018/EP 10.0</t>
  </si>
  <si>
    <t>Shanghai Haisun Chemtech Co., Ltd., China</t>
  </si>
  <si>
    <t>24HR10391</t>
  </si>
  <si>
    <t>TUSSILAGO FARFARA 10:1</t>
  </si>
  <si>
    <t>24HR01061</t>
  </si>
  <si>
    <t>Oxfendazole EP 10</t>
  </si>
  <si>
    <t>Jiangsu Baozong &amp; Baoda Pharmachem Co.,Ltd., China</t>
  </si>
  <si>
    <t>24HR07323</t>
  </si>
  <si>
    <t>TULATHROMYCIN ( BY AIR )</t>
  </si>
  <si>
    <t>Amicogen (China) Biopharm Co., Ltd., China</t>
  </si>
  <si>
    <t>24HR07311</t>
  </si>
  <si>
    <t>Moxidectin USP 43/EP 11 ( BY AIR )</t>
  </si>
  <si>
    <t>24LW08358</t>
  </si>
  <si>
    <t>PROPYLENE GLYCOL DICAPRYLATE/DICAPRATE</t>
  </si>
  <si>
    <t>Hangzhou Hengnuo Technology Co., Ltd., China</t>
  </si>
  <si>
    <t>24HR01036</t>
  </si>
  <si>
    <t>Apramycin Sulphate BP 2015</t>
  </si>
  <si>
    <t>Shandong Qilu King-Phar Pharmaceutical Co., Ltd., China</t>
  </si>
  <si>
    <t>24HR05195</t>
  </si>
  <si>
    <t>ENRAMYCIN 10%</t>
  </si>
  <si>
    <t>24HR05250</t>
  </si>
  <si>
    <t>AVILAMYCIN 20%</t>
  </si>
  <si>
    <t>24HR05280</t>
  </si>
  <si>
    <t>Gentamycin Sulphate USP 30  China</t>
  </si>
  <si>
    <t>Fuan Pharmaceutical Group Yantai Justaware Pharmaceutical Co., Ltd., China</t>
  </si>
  <si>
    <t>24HR05247</t>
  </si>
  <si>
    <t>Riboflavin Phosphate Sodium USP-NF 2022</t>
  </si>
  <si>
    <t>Hubei Guangji Pharmaceutical Co., Ltd., China</t>
  </si>
  <si>
    <t>24HR07321</t>
  </si>
  <si>
    <t xml:space="preserve">ZINC BACITRACIN </t>
  </si>
  <si>
    <t>24HR05243</t>
  </si>
  <si>
    <t>CALCIUM PROPIONATE</t>
  </si>
  <si>
    <t>SHANGHAI ZHONGXI PHARMACEUTICAL CO LTD China</t>
  </si>
  <si>
    <t>PI/040/2023-24</t>
  </si>
  <si>
    <t>RAFOXANIDE BP</t>
  </si>
  <si>
    <t>CHANGZHOU YABANG-QH PHARMACHEM CO., LTD.China</t>
  </si>
  <si>
    <t xml:space="preserve">MEBENDAZOLE </t>
  </si>
  <si>
    <t>003/23-24</t>
  </si>
  <si>
    <t>ALPHA HYDROXYBENZYL PHOSPHONIC ACID SODIUM SALT ( BY SHIP )</t>
  </si>
  <si>
    <t>Soneas Chemicals Ltd., Hungary</t>
  </si>
  <si>
    <t>03122020-001</t>
  </si>
  <si>
    <t>STRONG CETRIMIDE SOLUTION 40%BP</t>
  </si>
  <si>
    <t>Dishman Carbogen Amcis Limited</t>
  </si>
  <si>
    <t>EURO/CFR</t>
  </si>
  <si>
    <t>PI082/24-25</t>
  </si>
  <si>
    <t>MELOXICAM USP ( BY SHIP )</t>
  </si>
  <si>
    <t>Unichemlabs</t>
  </si>
  <si>
    <t>PI/022/2023-24</t>
  </si>
  <si>
    <t>GLUCONO DELTA LACTONE (GLUCONOLACTONE)</t>
  </si>
  <si>
    <t>Global Calcium Pvt. Ltd.</t>
  </si>
  <si>
    <t>PI/044/2023-24</t>
  </si>
  <si>
    <t>XYLAZINE HCL ( BY AIR )</t>
  </si>
  <si>
    <t>Alivira Animal Health Limited</t>
  </si>
  <si>
    <t>PI078/23-24-E</t>
  </si>
  <si>
    <t>D-Cloprostenol Sodium - CAS: 625361-03-9 -  (+) Cloprostenol ( BY AIR )</t>
  </si>
  <si>
    <t>Cayman Pharma s.r.o</t>
  </si>
  <si>
    <t>ZL-5/2024</t>
  </si>
  <si>
    <t>Cloprostenol Sodium – CAS No. 55028-72-3 (+/-)-Cloprostenol ( BY AIR )</t>
  </si>
  <si>
    <t>ZL-6/2024</t>
  </si>
  <si>
    <t>PRAZIQUANTEL ( BY SHIP )</t>
  </si>
  <si>
    <t>Alivira Animal Health Limited, India</t>
  </si>
  <si>
    <t>PI046/24-25</t>
  </si>
  <si>
    <t>Chlorhexidine Digluconate Solution 20% BP USP</t>
  </si>
  <si>
    <t>BAJAJ HEALTHCARE LTD.</t>
  </si>
  <si>
    <t>BUPARVAQUONE</t>
  </si>
  <si>
    <t>NGL Fine-Chem Limited, India</t>
  </si>
  <si>
    <t>Pl/24-25/030</t>
  </si>
  <si>
    <t xml:space="preserve">قیمت از قبل هم بیشتر افزایش داشته </t>
  </si>
  <si>
    <t xml:space="preserve">قیمت الان در بالاترین حد ممکن هست و بهتره پروفرم زده شود و تا زمان تخصیص صبر کنیم شاید پایین بیاید </t>
  </si>
  <si>
    <t xml:space="preserve">قیمت این روزها همچنان در حال بالا رفتن است </t>
  </si>
  <si>
    <t xml:space="preserve">قیمت خیلی افزایش داشته </t>
  </si>
  <si>
    <t xml:space="preserve">در مورد تولترازوریل  ، Hubei Longxiang دو نوع جنس  به ایران می فروشد- خلوص پایین  /پودر </t>
  </si>
  <si>
    <t xml:space="preserve">زمان تحویل را بعد از JUN 2025 اعلام کرده نه زودتر </t>
  </si>
  <si>
    <t xml:space="preserve">OXYTETRACYCLINE DIHYDRATE </t>
  </si>
  <si>
    <t>OXYTETRACYCLINE HCL</t>
  </si>
  <si>
    <t>CURRENCY</t>
  </si>
  <si>
    <t>LINCOMYCIN HCL USP</t>
  </si>
  <si>
    <t>2*5000</t>
  </si>
  <si>
    <t>PRICE</t>
  </si>
  <si>
    <t xml:space="preserve">قیمت را عوض کرد به CNY 44.10 </t>
  </si>
  <si>
    <t xml:space="preserve">ZINC GLUCONATE </t>
  </si>
  <si>
    <t xml:space="preserve">JIANGXI YBN PHRMACEUTICAL </t>
  </si>
  <si>
    <t xml:space="preserve">منبع چینی </t>
  </si>
  <si>
    <t>Hangzhou Hengnuo Technology Limited Company  </t>
  </si>
  <si>
    <t xml:space="preserve">تا حالا از زکم نداشتیم </t>
  </si>
  <si>
    <t xml:space="preserve">برای hcl قیمت 169.5 یوان است </t>
  </si>
  <si>
    <t xml:space="preserve">پروفرم از guobang زد </t>
  </si>
  <si>
    <r>
      <t xml:space="preserve">Thiamine Hydrochloride </t>
    </r>
    <r>
      <rPr>
        <b/>
        <strike/>
        <sz val="11"/>
        <rFont val="Calibri"/>
        <family val="2"/>
        <scheme val="minor"/>
      </rPr>
      <t xml:space="preserve">BP  </t>
    </r>
    <r>
      <rPr>
        <b/>
        <sz val="11"/>
        <color rgb="FFFF0000"/>
        <rFont val="Calibri"/>
        <family val="2"/>
        <scheme val="minor"/>
      </rPr>
      <t>VITAMIN B1 USP</t>
    </r>
  </si>
  <si>
    <r>
      <t xml:space="preserve">32.5   </t>
    </r>
    <r>
      <rPr>
        <b/>
        <sz val="11"/>
        <rFont val="Calibri"/>
        <family val="2"/>
        <scheme val="minor"/>
      </rPr>
      <t>38</t>
    </r>
  </si>
  <si>
    <t xml:space="preserve">گفته جنس خطرناک اشتباه قیمت داده 38 درسته </t>
  </si>
  <si>
    <t xml:space="preserve">3960 kg </t>
  </si>
  <si>
    <t xml:space="preserve">با حمل هوایی زد بجای دریایی  957 یوان </t>
  </si>
  <si>
    <t>Sulfadimethoxine Sodium</t>
  </si>
  <si>
    <t xml:space="preserve">Jiangsu Tianhe Pharma </t>
  </si>
  <si>
    <t xml:space="preserve">مدارک ثبت برای دکتر فرد ارسال شد 26 نوامبر  </t>
  </si>
  <si>
    <t xml:space="preserve"> Sulfamethoxazole</t>
  </si>
  <si>
    <t xml:space="preserve">Virchow </t>
  </si>
  <si>
    <t>INR</t>
  </si>
  <si>
    <t>معادل EUR11.30</t>
  </si>
  <si>
    <t xml:space="preserve">Dec.3.24 </t>
  </si>
  <si>
    <t>تحویل زودتر از فوریه 2025 نخواهد بود /DEC.02.24</t>
  </si>
  <si>
    <t xml:space="preserve">Boric Acid </t>
  </si>
  <si>
    <t xml:space="preserve">3000kg </t>
  </si>
  <si>
    <t xml:space="preserve">Guangzhou Kangqiao Hanpu Pharmaceutical </t>
  </si>
  <si>
    <t>CNY CFR</t>
  </si>
  <si>
    <t xml:space="preserve">Calcium Gluconate </t>
  </si>
  <si>
    <t>15000kg</t>
  </si>
  <si>
    <t>Zhejiang Ruibang Lab .</t>
  </si>
  <si>
    <t>EUR/CFR</t>
  </si>
  <si>
    <t>10 mt/20' fcl.</t>
  </si>
  <si>
    <t>glass vial ml Injection Colorless type II</t>
  </si>
  <si>
    <t xml:space="preserve">Shandong </t>
  </si>
  <si>
    <t xml:space="preserve">Dexpanthenol USP     </t>
  </si>
  <si>
    <t xml:space="preserve">3000 kg </t>
  </si>
  <si>
    <t>each 1000 pcs</t>
  </si>
  <si>
    <t>cny /cfr</t>
  </si>
  <si>
    <t xml:space="preserve">Sulfadimethoxine Sodium </t>
  </si>
  <si>
    <t xml:space="preserve">4000kg </t>
  </si>
  <si>
    <t>CNY /CFR</t>
  </si>
  <si>
    <t xml:space="preserve">Clindamycin HCL </t>
  </si>
  <si>
    <t xml:space="preserve">150kg </t>
  </si>
  <si>
    <t xml:space="preserve">Tiantai </t>
  </si>
  <si>
    <t xml:space="preserve">Choline Chloride 98% Crystal </t>
  </si>
  <si>
    <t xml:space="preserve">Shandong Aocter Chemical Co., Ltd., China </t>
  </si>
  <si>
    <t>Jiangsu Tianhe Pharmaceutical Co.,Ltd., China</t>
  </si>
  <si>
    <t xml:space="preserve">Hanzhou Xinfu Science &amp; Technology Co., Ltd., China </t>
  </si>
  <si>
    <t xml:space="preserve">در 8 دسامبر قیمت داد </t>
  </si>
  <si>
    <t xml:space="preserve">37 پایین ترین </t>
  </si>
  <si>
    <t xml:space="preserve">در 4 دسامبر قیمت داد - در 14 دسامبر پروفرم داد و گفت فقط باید به یورو پرداخت بشه به هنگ کنگ یوان نمیشه </t>
  </si>
  <si>
    <t xml:space="preserve">Sodium Bicarbonate </t>
  </si>
  <si>
    <t xml:space="preserve">Hebei Huachen </t>
  </si>
  <si>
    <t xml:space="preserve">CNY </t>
  </si>
  <si>
    <t>Meloxicam USP</t>
  </si>
  <si>
    <t>Shandong Xinhua</t>
  </si>
  <si>
    <t>EUR</t>
  </si>
  <si>
    <t>Oregano Oil ( BNP)</t>
  </si>
  <si>
    <t>THYME OIL ( BNP )</t>
  </si>
  <si>
    <t>BNP</t>
  </si>
  <si>
    <t xml:space="preserve">BNP </t>
  </si>
  <si>
    <t>CLORSULON</t>
  </si>
  <si>
    <t>ALIVIRA ANIMAL HEALTH LIMITED</t>
  </si>
  <si>
    <t>PI083/22-23</t>
  </si>
  <si>
    <t>22HR12279Z</t>
  </si>
  <si>
    <t>Eprinomectin USP43</t>
  </si>
  <si>
    <t>Hebei Veyong Pharmaceutical Co.,Ltd.,  China.</t>
  </si>
  <si>
    <t>PI/23-24/00200</t>
  </si>
  <si>
    <t>BUTAPHOSPHAN (BPS)</t>
  </si>
  <si>
    <t>NGL Fine-Chem Limited</t>
  </si>
  <si>
    <t>34.65</t>
  </si>
  <si>
    <t>NEW 11-JAN-2025</t>
  </si>
  <si>
    <t xml:space="preserve">CNY240 کرایه حمل چون جنس خطرناک است </t>
  </si>
  <si>
    <t xml:space="preserve">CNY/FOB </t>
  </si>
  <si>
    <t>EUR/FCA</t>
  </si>
  <si>
    <t xml:space="preserve">درخواست پروفرم شد که چون باید از طریق تاپسان باشه 5% به قیمت اضافه میشود /ولی مبلغش زیر 50 هزار یورو میشود و رویان نمیتواند ارز بگیرد لطفا تصمیم بگیرید </t>
  </si>
  <si>
    <r>
      <t xml:space="preserve">28.68    </t>
    </r>
    <r>
      <rPr>
        <b/>
        <sz val="11"/>
        <color rgb="FFFF0000"/>
        <rFont val="Calibri"/>
        <family val="2"/>
        <scheme val="minor"/>
      </rPr>
      <t>168</t>
    </r>
  </si>
  <si>
    <r>
      <rPr>
        <b/>
        <sz val="10"/>
        <color rgb="FFFF0000"/>
        <rFont val="Calibri"/>
        <family val="2"/>
        <scheme val="minor"/>
      </rPr>
      <t>FOB</t>
    </r>
    <r>
      <rPr>
        <b/>
        <sz val="10"/>
        <rFont val="Calibri"/>
        <family val="2"/>
        <scheme val="minor"/>
      </rPr>
      <t xml:space="preserve">/EUR   </t>
    </r>
    <r>
      <rPr>
        <b/>
        <sz val="10"/>
        <color rgb="FFFF0000"/>
        <rFont val="Calibri"/>
        <family val="2"/>
        <scheme val="minor"/>
      </rPr>
      <t>FOB/CNY</t>
    </r>
  </si>
  <si>
    <r>
      <t xml:space="preserve">220 </t>
    </r>
    <r>
      <rPr>
        <b/>
        <sz val="11"/>
        <rFont val="Calibri"/>
        <family val="2"/>
        <scheme val="minor"/>
      </rPr>
      <t xml:space="preserve">      </t>
    </r>
    <r>
      <rPr>
        <b/>
        <sz val="11"/>
        <color rgb="FFFF0000"/>
        <rFont val="Calibri"/>
        <family val="2"/>
        <scheme val="minor"/>
      </rPr>
      <t>198</t>
    </r>
  </si>
  <si>
    <r>
      <rPr>
        <b/>
        <sz val="10"/>
        <rFont val="Calibri"/>
        <family val="2"/>
        <scheme val="minor"/>
      </rPr>
      <t>FOB/EUR</t>
    </r>
    <r>
      <rPr>
        <b/>
        <sz val="10"/>
        <color rgb="FFFF0000"/>
        <rFont val="Calibri"/>
        <family val="2"/>
        <scheme val="minor"/>
      </rPr>
      <t xml:space="preserve">   FOB/CNY</t>
    </r>
  </si>
  <si>
    <t>EUR/CPT</t>
  </si>
  <si>
    <t xml:space="preserve">یک 100 کیلو نوامبر 2024گرفته شد - 100 کیلو هم فوریه 2025 درخواست شد </t>
  </si>
  <si>
    <t xml:space="preserve"> </t>
  </si>
  <si>
    <t xml:space="preserve">  Zhechem </t>
  </si>
  <si>
    <t xml:space="preserve">  FEI DING </t>
  </si>
  <si>
    <t>Shanghai Mosutech Co.</t>
  </si>
  <si>
    <t>Currency</t>
  </si>
  <si>
    <t>2850      1675          2850             4900</t>
  </si>
  <si>
    <t xml:space="preserve">                           75 pcs                40 pcs                 75 pcs                50 pcs </t>
  </si>
  <si>
    <t xml:space="preserve">همین قیمتها  فقط کرایه حمل بالا تر دفته 8800 یوان بیشتر </t>
  </si>
  <si>
    <t xml:space="preserve">Filter 30 Inch      5502542P3-G          5105307H9-SS-A         5502503P3-G               5442507H3-G </t>
  </si>
  <si>
    <t xml:space="preserve">Enrofloxacin Sodium </t>
  </si>
  <si>
    <t xml:space="preserve">Shangyu Jingxin Pharmaceutical </t>
  </si>
  <si>
    <t xml:space="preserve">CNY/CFFR </t>
  </si>
  <si>
    <t xml:space="preserve">قیمت کمی بالا رفت ولی در مقایسه با دینگ هنوز پایین تر بود درخواست پروفرم شد </t>
  </si>
  <si>
    <t>24HR11446</t>
  </si>
  <si>
    <t xml:space="preserve">  FEI DING</t>
  </si>
  <si>
    <t xml:space="preserve">پروفرم گرفته شده </t>
  </si>
  <si>
    <t>TILMICOSIN PHOSPHATE</t>
  </si>
  <si>
    <t>SHANDONG LUKANG SHELILE PHARMACEUTICAL CO LTD</t>
  </si>
  <si>
    <t>RC23G23E133</t>
  </si>
  <si>
    <t>Tilmicosin Phosphate</t>
  </si>
  <si>
    <t>24HR11405</t>
  </si>
  <si>
    <t>Potassium Monopersulfate</t>
  </si>
  <si>
    <t>RC24G23E266</t>
  </si>
  <si>
    <t>SHANGYU JIEHUA BUSINESS TRADE CO., LTD</t>
  </si>
  <si>
    <t>Phenoxymethyl Penicillin Potassium BP 2021</t>
  </si>
  <si>
    <t>Hebei North China Pharmaceutical Huaheng Pharmaceutical Co., Ltd., China</t>
  </si>
  <si>
    <t>24HR11411</t>
  </si>
  <si>
    <t>24HR05265</t>
  </si>
  <si>
    <t xml:space="preserve">Tylvalosin Tartrate </t>
  </si>
  <si>
    <t>Hubei Hvsen Biotechnology Co., Ltd., China</t>
  </si>
  <si>
    <t>Pl/24-25/00130</t>
  </si>
  <si>
    <t>Triclabendazole (EP)-(Micronized)</t>
  </si>
  <si>
    <t>FLORFENICOL</t>
  </si>
  <si>
    <t>ZHEJIANG KANGMU PHAMACEUTICAL CO., LTD.</t>
  </si>
  <si>
    <t>RC24G23E282</t>
  </si>
  <si>
    <t>24HR11408</t>
  </si>
  <si>
    <t xml:space="preserve">Zhejiang Zhixing Pharmaceutical Co., Ltd., China </t>
  </si>
  <si>
    <t>Florfenicol CVP 2020</t>
  </si>
  <si>
    <t>Abamectin</t>
  </si>
  <si>
    <t>North China Pharmaceutical Group Aino Co., Ltd., China</t>
  </si>
  <si>
    <t>CNY/CPT</t>
  </si>
  <si>
    <t>24HR07324</t>
  </si>
  <si>
    <t>Euro/CPT</t>
  </si>
  <si>
    <t>Vitamin B 12 USP 43</t>
  </si>
  <si>
    <t>Ningxia Kingvit Pharmaceutical Co.Ltd., China</t>
  </si>
  <si>
    <t>24HR07313</t>
  </si>
  <si>
    <t>RC24G23E319</t>
  </si>
  <si>
    <t>Oxytetracycline Hydrochloride</t>
  </si>
  <si>
    <t>YANCHENG DAFENG AREA TIANSHENG JOINT PHARMACEUTICAL CO., LTD.</t>
  </si>
  <si>
    <t>24HR11468</t>
  </si>
  <si>
    <t>24HR12546</t>
  </si>
  <si>
    <t>Sodium Bicarbonate Inj. BP 2022</t>
  </si>
  <si>
    <t>Hebei Huachen Pharmaceutical Group Co., Ltd., China</t>
  </si>
  <si>
    <t>24HR05260</t>
  </si>
  <si>
    <t>Vitamin A Palmitate 1.7 miu/g EP/USP</t>
  </si>
  <si>
    <t>Zhejiang Medicine Co.,Ltd. Changhai Biological Company, China</t>
  </si>
  <si>
    <t>RC24G23E295</t>
  </si>
  <si>
    <t>DINITOLMIDE</t>
  </si>
  <si>
    <t>24HR11444</t>
  </si>
  <si>
    <t>Dinitolmide CPV 2020</t>
  </si>
  <si>
    <t>RC24G23E313</t>
  </si>
  <si>
    <t>SANXIA PHARMACEUTICAL (HUBEI YICHANG XIAOTING) CO., LTD.</t>
  </si>
  <si>
    <t>Sanxia Pharmaceutical（Hubei Yichang Xiaoting） Co., Ltd., China</t>
  </si>
  <si>
    <t>24HR11461</t>
  </si>
  <si>
    <t>24HR07327</t>
  </si>
  <si>
    <t>Moulded Glass Vials USP 50 ml Amber for Injection ( TYPE II)</t>
  </si>
  <si>
    <t>RC23G23E261</t>
  </si>
  <si>
    <t>VITAMIN E Acetate oil 98%</t>
  </si>
  <si>
    <t>ZHEJIANG MEDICINE CO., LTD, XINCHANG PHARMACEUTICAL FACTORY</t>
  </si>
  <si>
    <t>23HR10291</t>
  </si>
  <si>
    <t xml:space="preserve">Vitamin E oil USP </t>
  </si>
  <si>
    <t xml:space="preserve">Zhejiang Medicine Co., Ltd. Xinchang Pharmaceutical Factory, China </t>
  </si>
  <si>
    <t>ERYTHROMYCIN THIOCYANATE</t>
  </si>
  <si>
    <t>HEC PHARM CO., LTD.</t>
  </si>
  <si>
    <t>RC24G23E299</t>
  </si>
  <si>
    <t>Erythromycin Thiocyanate</t>
  </si>
  <si>
    <t>24HR11447</t>
  </si>
  <si>
    <t>RC24G23E092</t>
  </si>
  <si>
    <t>Boai NKY Pharmaceutical Co., Ltd., China</t>
  </si>
  <si>
    <t>Povidone Iodine</t>
  </si>
  <si>
    <t>24HR07318</t>
  </si>
  <si>
    <t>PVP-I Current USP</t>
  </si>
  <si>
    <t>RC24G23E317</t>
  </si>
  <si>
    <t>INNER MONGOLIA HUASHU BIOLOGICAL TECHNOLOGY CO., LTD.</t>
  </si>
  <si>
    <t>Oxytetracycline Dihydrate</t>
  </si>
  <si>
    <t>24HR11466</t>
  </si>
  <si>
    <t>Inner Mongolia Huashu Biological Technology Co., Ltd., China</t>
  </si>
  <si>
    <t>Oxytetracycline Dihydrate  USP 40</t>
  </si>
  <si>
    <t>Peppermint Essence</t>
  </si>
  <si>
    <t>24HR05248</t>
  </si>
  <si>
    <t>RC24G23E296</t>
  </si>
  <si>
    <t>23HR08211</t>
  </si>
  <si>
    <t>Hebei Jiupeng Pharmaceutical Co., Ltd., China</t>
  </si>
  <si>
    <t>Doxycycline Hyclate BP 2014/EP 8.0</t>
  </si>
  <si>
    <t>RC24G23E026</t>
  </si>
  <si>
    <t>ZHEJIANG GUOBANG PHARMACEUTICAL CO., LTD.</t>
  </si>
  <si>
    <t>DANOFLOXACIN MESYLATE</t>
  </si>
  <si>
    <t>24HR05200</t>
  </si>
  <si>
    <t>Danofloxacin Mesylate</t>
  </si>
  <si>
    <t>SHANDONG XINHUA PHARMACEUTICAL CO., LTD.</t>
  </si>
  <si>
    <t>ACETYL SALICYLIC ACID (Aspirin)</t>
  </si>
  <si>
    <t>RC24G23E327</t>
  </si>
  <si>
    <t>Tylosin</t>
  </si>
  <si>
    <t>24HR11478</t>
  </si>
  <si>
    <t>RC24G23E291</t>
  </si>
  <si>
    <t>FUJIAN FUKANG PHARMACEUTICAL CO., LTD.</t>
  </si>
  <si>
    <t>CHLORTETRACYCLINE HYDROCHLORIDE</t>
  </si>
  <si>
    <t>24HR11440</t>
  </si>
  <si>
    <t>AMPROLIUM HCL</t>
  </si>
  <si>
    <t>RC24G23E290</t>
  </si>
  <si>
    <t>24HR11438</t>
  </si>
  <si>
    <t>Vitamin D3   (Crystalline, 40 Million )</t>
  </si>
  <si>
    <t>Zhejiang Garden Biochemical High-Tech Co., Ltd., China</t>
  </si>
  <si>
    <t>RC24G23E256</t>
  </si>
  <si>
    <t>Vitamin D3 40 miu EP 11/USP 43</t>
  </si>
  <si>
    <t>24HR05241</t>
  </si>
  <si>
    <t>Tulathromycin</t>
  </si>
  <si>
    <t>24HR11514</t>
  </si>
  <si>
    <t>24HR10387</t>
  </si>
  <si>
    <t>Oxytetracycline HCL Inj. BP 2022</t>
  </si>
  <si>
    <t xml:space="preserve">LINCOMYCIN HYDROCHLORIDE USP </t>
  </si>
  <si>
    <t>JIANGSU TIANHE PHARMACEUTICAL CO., LTD.</t>
  </si>
  <si>
    <t>RC24G23E332</t>
  </si>
  <si>
    <t xml:space="preserve">Sulfadimethoxine Sodium Current USP     </t>
  </si>
  <si>
    <t>24HR12535</t>
  </si>
  <si>
    <t>24HR11508</t>
  </si>
  <si>
    <t>RC24G23E310</t>
  </si>
  <si>
    <t>ZHEJIANG GUOBANG PHARMACEUTICAL CO., LTD</t>
  </si>
  <si>
    <t>MARBOFLOXACIN</t>
  </si>
  <si>
    <t>24HR11458</t>
  </si>
  <si>
    <t xml:space="preserve">Marbofloxacin EP 11        </t>
  </si>
  <si>
    <t>24HR11516</t>
  </si>
  <si>
    <t>Propylene Glycol Dicaprylate/Dicaprate</t>
  </si>
  <si>
    <t>24HR11460</t>
  </si>
  <si>
    <t>RC24G23E312</t>
  </si>
  <si>
    <t>SHANGHAI YUKING WATER SOLUBLE MATERIAL TECH CO., LTD.</t>
  </si>
  <si>
    <t>RC24G23E321</t>
  </si>
  <si>
    <t>Salinomycin Sodium 24%</t>
  </si>
  <si>
    <t>SHANDONG QILU KING-PHAR PHARMACEUTICAL CO., LTD.</t>
  </si>
  <si>
    <t>24HR11470</t>
  </si>
  <si>
    <t>RC24G23E292</t>
  </si>
  <si>
    <t>24HR11441</t>
  </si>
  <si>
    <t>Closantel Sodium Dihydrate Current EP</t>
  </si>
  <si>
    <t>Zinc Bacitracin</t>
  </si>
  <si>
    <t>24HR11522</t>
  </si>
  <si>
    <t>RC24G23E093</t>
  </si>
  <si>
    <t>HUBEI GUANGJI PHARMACEUTICAL Co. LTD.</t>
  </si>
  <si>
    <t>RIBOFLAVIN SODIUM PHOSPHATE</t>
  </si>
  <si>
    <t>24HR11521</t>
  </si>
  <si>
    <t>24HR11465</t>
  </si>
  <si>
    <t>RC24G23E297</t>
  </si>
  <si>
    <t>ENROFLOXACIN</t>
  </si>
  <si>
    <t>24HR11445</t>
  </si>
  <si>
    <t>Enrofloxacin EP 11</t>
  </si>
  <si>
    <t>Gentamycin Sulphate USP 30</t>
  </si>
  <si>
    <t>24HR11520</t>
  </si>
  <si>
    <t>RC24G23E318</t>
  </si>
  <si>
    <t xml:space="preserve">Oxytetracycline Dihydrate Injection EP </t>
  </si>
  <si>
    <t>24HR11467</t>
  </si>
  <si>
    <t>RC24G23E314</t>
  </si>
  <si>
    <t>Nicarbazine</t>
  </si>
  <si>
    <t>24HR11462</t>
  </si>
  <si>
    <t>24HR11477</t>
  </si>
  <si>
    <t>Toltrazuril</t>
  </si>
  <si>
    <t>RC24G23E320</t>
  </si>
  <si>
    <t>Robenidine Hydrochloride 10%</t>
  </si>
  <si>
    <t>24HR11469</t>
  </si>
  <si>
    <t>RC24G23E305</t>
  </si>
  <si>
    <t>LAOHEKOU JINGHONG CHEMICAL CO., LTD.</t>
  </si>
  <si>
    <t>24HR11452</t>
  </si>
  <si>
    <t>Glutaraldehyde 50%</t>
  </si>
  <si>
    <t>24HR11510</t>
  </si>
  <si>
    <t>Tilmicosin Base</t>
  </si>
  <si>
    <t>RC24G23E315</t>
  </si>
  <si>
    <t>RC24G23E284</t>
  </si>
  <si>
    <t>Niclosamide Monoethanolamine Salt</t>
  </si>
  <si>
    <t>WUJIANG LUOSEN CHEMICALS CO., LTD.</t>
  </si>
  <si>
    <t>Niclosamide Monoethanolamin</t>
  </si>
  <si>
    <t>24HR11463</t>
  </si>
  <si>
    <t>RC24G23E293</t>
  </si>
  <si>
    <t>LIVZON GROUP FUZHOU FUXING PHARMACEUTICAL CO., LTD.</t>
  </si>
  <si>
    <t>COLISTIN SULFATE</t>
  </si>
  <si>
    <t>24HR11442</t>
  </si>
  <si>
    <t>RC24G23E311</t>
  </si>
  <si>
    <t>Monensin Sodium 30%</t>
  </si>
  <si>
    <t>24HR11459</t>
  </si>
  <si>
    <t>24HR11511</t>
  </si>
  <si>
    <t>24HR11414</t>
  </si>
  <si>
    <t>Luoyang Zhengmu Bio-Tech Co., Ltd., China</t>
  </si>
  <si>
    <t>Norfloxacin USP 42</t>
  </si>
  <si>
    <t>24HR11450</t>
  </si>
  <si>
    <t>Fosfomycin Calcium</t>
  </si>
  <si>
    <t>RC24G23E303</t>
  </si>
  <si>
    <t>Sodium Salicylate</t>
  </si>
  <si>
    <t>RC24G23E322</t>
  </si>
  <si>
    <t>JQC (HUAYIN) PHARMACEUTICAL CO., LTD.</t>
  </si>
  <si>
    <t>24HR11472</t>
  </si>
  <si>
    <t>23HR11334</t>
  </si>
  <si>
    <t>Hubei Xunda Pharmaceutical Co., Ltd., China</t>
  </si>
  <si>
    <t>Ketoprofen USP 43</t>
  </si>
  <si>
    <t>24HR11439</t>
  </si>
  <si>
    <t>Bacitracin Methylene Disalicylate Soluble Powder USP-NF 2023       (BMDS)</t>
  </si>
  <si>
    <t>RC24G23E309</t>
  </si>
  <si>
    <t>Maduramicin Ammonium 5%</t>
  </si>
  <si>
    <t>24HR11457</t>
  </si>
  <si>
    <t>Maduramicin Ammonium Premix 5% Granule</t>
  </si>
  <si>
    <t>RC24G23E328</t>
  </si>
  <si>
    <t>Tylosin Phosphate Granular</t>
  </si>
  <si>
    <t>24HR11479</t>
  </si>
  <si>
    <t>24HR11523</t>
  </si>
  <si>
    <t>Shanghai Zhongxi Pharmaceutical Co., Ltd., China</t>
  </si>
  <si>
    <t>Calcium Propionate</t>
  </si>
  <si>
    <t>RC24G23E331</t>
  </si>
  <si>
    <t>L-CARNITINE HYDROCHLORIDE</t>
  </si>
  <si>
    <t>24HR12532</t>
  </si>
  <si>
    <t>24HR11517</t>
  </si>
  <si>
    <t>RC24G23E324</t>
  </si>
  <si>
    <t>SUZHOU WUGAN PHARMACEUTICAL CO., LTD.</t>
  </si>
  <si>
    <t>Sulfadiazine Sodium</t>
  </si>
  <si>
    <t>24HR11474</t>
  </si>
  <si>
    <t>24HR10393</t>
  </si>
  <si>
    <t>Qilu King-Phar Pharmaceutical Co., Ltd., China</t>
  </si>
  <si>
    <t>Ivermectin EP 11</t>
  </si>
  <si>
    <t>24HR11497</t>
  </si>
  <si>
    <t xml:space="preserve">Shandong NB Group Co., Ltd., China </t>
  </si>
  <si>
    <t>Choline Chloride 70%</t>
  </si>
  <si>
    <t>24HR11506</t>
  </si>
  <si>
    <t>RC25G23E001</t>
  </si>
  <si>
    <t>SHANGYU JINGXIN PHARMACEUTICAL CO., LTD.</t>
  </si>
  <si>
    <t>25HR03028</t>
  </si>
  <si>
    <t xml:space="preserve">Enrofloxacin Sodium   </t>
  </si>
  <si>
    <t>24HR01071</t>
  </si>
  <si>
    <t>Guangdong Runhua Chemistry Co.，Ltd. China</t>
  </si>
  <si>
    <t>Sorbitan Monostearate (Span-60)</t>
  </si>
  <si>
    <t>RC24G23E323</t>
  </si>
  <si>
    <t>Spectinomycin Sulfate</t>
  </si>
  <si>
    <t>24HR11473</t>
  </si>
  <si>
    <t>Spectinomycin Sulphate EP 11</t>
  </si>
  <si>
    <t>RC24G23E263</t>
  </si>
  <si>
    <t>WANBANGDE PHARMACEUTTICAL GROUP CO., LTD.</t>
  </si>
  <si>
    <t>Bromhexine Hydrochloride</t>
  </si>
  <si>
    <t>24HR11496</t>
  </si>
  <si>
    <t>24HR05257</t>
  </si>
  <si>
    <t>Hebei Jiheng (Group) Pharmaceutical Co., Ltd., China</t>
  </si>
  <si>
    <t>Folic Acid USP 43</t>
  </si>
  <si>
    <t>24HR11486</t>
  </si>
  <si>
    <t>Sulphamethoxazole BP 2024</t>
  </si>
  <si>
    <t>RC24G23E294</t>
  </si>
  <si>
    <t>DICLAZURIL 5%</t>
  </si>
  <si>
    <t>24HR11443</t>
  </si>
  <si>
    <t>Diclazuril 5%</t>
  </si>
  <si>
    <t>24HR10389</t>
  </si>
  <si>
    <t>Yangzhou Tianhe Pharmaceutical Co.Ltd., China</t>
  </si>
  <si>
    <t xml:space="preserve">Sulfachloropyrazine Sodium Monohydrate  CPV 2010 </t>
  </si>
  <si>
    <t>24HR12536</t>
  </si>
  <si>
    <t>Choline Chloride 98% Crystal</t>
  </si>
  <si>
    <t>RC24G23E249</t>
  </si>
  <si>
    <t>SHOUGUANG FUKANG PHARMACEUTICAL Co. LTD.</t>
  </si>
  <si>
    <t xml:space="preserve">Trimethoprim </t>
  </si>
  <si>
    <t>24LW08356</t>
  </si>
  <si>
    <t>Shouguang Fukang Pharmaceutical Co.Ltd., China</t>
  </si>
  <si>
    <t>Trimethoprim USP-NF micronized</t>
  </si>
  <si>
    <t>24HR05268</t>
  </si>
  <si>
    <t>Wuhan Grand Hoyo Co., Ltd., China</t>
  </si>
  <si>
    <t xml:space="preserve">N-Acetyl-L-Cysteine USP 43 </t>
  </si>
  <si>
    <t>RC24G23E105</t>
  </si>
  <si>
    <t xml:space="preserve">Tylosin Tartrate  </t>
  </si>
  <si>
    <t>24HR01032</t>
  </si>
  <si>
    <t>Tylosin Tartrate</t>
  </si>
  <si>
    <t>24HR05261</t>
  </si>
  <si>
    <t>Jinhe Biotechnology Co., Ltd., China</t>
  </si>
  <si>
    <t>Chlortetracycline Feed Grade 30% Granule</t>
  </si>
  <si>
    <t>24HR02134</t>
  </si>
  <si>
    <t xml:space="preserve">Shanghai Zhongxi Pharmaceutical Co., Ltd., China </t>
  </si>
  <si>
    <t xml:space="preserve">Sodium Propionate </t>
  </si>
  <si>
    <t>PI/22-23/0001</t>
  </si>
  <si>
    <t>NITROXYNIL BP VET</t>
  </si>
  <si>
    <t>NGL FINE-CHEM LIMITED</t>
  </si>
  <si>
    <t>INR/CFR</t>
  </si>
  <si>
    <t>18HR05207</t>
  </si>
  <si>
    <t>Hubei Provincial Bafeng Pharmaceutical &amp; Chemicals</t>
  </si>
  <si>
    <t>24HR01085</t>
  </si>
  <si>
    <t>Magnesium Oxide Heavy Powder EP 10</t>
  </si>
  <si>
    <t>N-ETHYL GLUCAMINE (NEG)</t>
  </si>
  <si>
    <t>24HR01100</t>
  </si>
  <si>
    <t>Henan Jindan Lactic Acid Technology Co., Ltd.</t>
  </si>
  <si>
    <t>Lactic Acid 90%</t>
  </si>
  <si>
    <t>23HR12351Z</t>
  </si>
  <si>
    <t>Acetyl cysteine USP43</t>
  </si>
  <si>
    <t>23HR05090</t>
  </si>
  <si>
    <t xml:space="preserve">Decoquinate Premix 12%    </t>
  </si>
  <si>
    <t>24HR05253</t>
  </si>
  <si>
    <t>L-Valine USP 2023</t>
  </si>
  <si>
    <t>24HR08331</t>
  </si>
  <si>
    <t>Guangzhou Tanke Bio-Tech Co., Ltd., China</t>
  </si>
  <si>
    <t>Manganese Glycine Chelate</t>
  </si>
  <si>
    <t>23HR12345</t>
  </si>
  <si>
    <t xml:space="preserve">Erythromycin Base EP 11.1   </t>
  </si>
  <si>
    <t>24HR03163</t>
  </si>
  <si>
    <t>L-Methionine USP 2023</t>
  </si>
  <si>
    <t>L-Proline USP 39</t>
  </si>
  <si>
    <t>L-Tyrosine USP 39</t>
  </si>
  <si>
    <t>24HR03154</t>
  </si>
  <si>
    <t>L-Arginine HCL USP 2023</t>
  </si>
  <si>
    <t>SLL/47/19-20</t>
  </si>
  <si>
    <t>Supriya Lifescience Ltd.</t>
  </si>
  <si>
    <t>Chlorpheniramine Maleate BP2018</t>
  </si>
  <si>
    <t>INR/CPT</t>
  </si>
  <si>
    <t>24HR03162</t>
  </si>
  <si>
    <t>L-Leucine -USP 2023</t>
  </si>
  <si>
    <t>24HR03158</t>
  </si>
  <si>
    <t>L-Threonine USP 2023</t>
  </si>
  <si>
    <t>24HR03155</t>
  </si>
  <si>
    <t>L-Serine USP 2023</t>
  </si>
  <si>
    <t>24HR03160</t>
  </si>
  <si>
    <t>Glycine USP 2023 (Previously L-Glycine)</t>
  </si>
  <si>
    <t>24HR03159</t>
  </si>
  <si>
    <t>L-Phenylalanine USP 2023</t>
  </si>
  <si>
    <t>24HR03157</t>
  </si>
  <si>
    <t>L-Isoleucine USP 2023</t>
  </si>
  <si>
    <t>24HR03164</t>
  </si>
  <si>
    <t>L-Histidine USP 2023</t>
  </si>
  <si>
    <t>pi077/23-24-E</t>
  </si>
  <si>
    <t>alivira animal health limited</t>
  </si>
  <si>
    <t>CARPROFEN</t>
  </si>
  <si>
    <t>24HR03156</t>
  </si>
  <si>
    <t>L-Lysine HCL USP 2023</t>
  </si>
  <si>
    <t>Copper Glycine Chelate</t>
  </si>
  <si>
    <t>L-Alanine USP 39</t>
  </si>
  <si>
    <t>Zinc Glycine Chelate</t>
  </si>
  <si>
    <t>RC24G23E181</t>
  </si>
  <si>
    <t>24HR02110</t>
  </si>
  <si>
    <t>Shandong Xinhua Pharmaceutical Co., Ltd., China</t>
  </si>
  <si>
    <t>Acetyl Salicylic Acid BP2023/EP11/USP 2023(Asprin)</t>
  </si>
  <si>
    <t>Moulded Glass Vials USP Type II 10 ml Colorless  for Injection</t>
  </si>
  <si>
    <t>22HR04111</t>
  </si>
  <si>
    <t>0 29182310</t>
  </si>
  <si>
    <t>0 29224990</t>
  </si>
  <si>
    <t xml:space="preserve">Ascorbic Acid USP ( Vitamin C USP ) </t>
  </si>
  <si>
    <t>24HR02125</t>
  </si>
  <si>
    <t>RC24G23E020</t>
  </si>
  <si>
    <t xml:space="preserve">ASCORBIC ACID ( VITAMIN C SODIUM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</si>
</sst>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43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33333"/>
      <name val="Calibri "/>
      <charset val="178"/>
    </font>
    <font>
      <b/>
      <sz val="11"/>
      <color rgb="FF00B0F0"/>
      <name val="Calibri "/>
      <charset val="178"/>
    </font>
    <font>
      <b/>
      <sz val="11"/>
      <color theme="0"/>
      <name val="Calibri "/>
      <charset val="178"/>
    </font>
    <font>
      <b/>
      <sz val="11"/>
      <color theme="1"/>
      <name val="Calibri "/>
      <charset val="178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FF33CC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trike/>
      <sz val="1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FF0000"/>
      <name val="Calibri"/>
      <family val="2"/>
      <charset val="178"/>
      <scheme val="minor"/>
    </font>
    <font>
      <b/>
      <strike/>
      <sz val="12"/>
      <color theme="1"/>
      <name val="Calibri"/>
      <family val="2"/>
      <scheme val="minor"/>
    </font>
    <font>
      <b/>
      <sz val="12"/>
      <color rgb="FF99FF3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rgb="FFFF33CC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 "/>
      <charset val="178"/>
    </font>
    <font>
      <b/>
      <sz val="11"/>
      <name val="Calibri "/>
      <charset val="178"/>
    </font>
  </fonts>
  <fills count="2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29">
    <xf numFmtId="0" fontId="0" fillId="0" borderId="0" xfId="0"/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1" fontId="8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9" fontId="5" fillId="4" borderId="1" xfId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1" fontId="10" fillId="3" borderId="1" xfId="0" applyNumberFormat="1" applyFont="1" applyFill="1" applyBorder="1" applyAlignment="1">
      <alignment horizontal="center" vertical="center"/>
    </xf>
    <xf numFmtId="1" fontId="11" fillId="3" borderId="1" xfId="0" applyNumberFormat="1" applyFont="1" applyFill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1" fontId="11" fillId="10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3" fontId="9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" fontId="14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0" xfId="0" applyFont="1"/>
    <xf numFmtId="3" fontId="19" fillId="0" borderId="1" xfId="0" applyNumberFormat="1" applyFont="1" applyBorder="1" applyAlignment="1">
      <alignment horizontal="center" vertical="center"/>
    </xf>
    <xf numFmtId="3" fontId="21" fillId="0" borderId="1" xfId="0" applyNumberFormat="1" applyFont="1" applyBorder="1" applyAlignment="1">
      <alignment horizontal="center" vertical="center" wrapText="1"/>
    </xf>
    <xf numFmtId="3" fontId="21" fillId="6" borderId="1" xfId="0" applyNumberFormat="1" applyFont="1" applyFill="1" applyBorder="1" applyAlignment="1">
      <alignment horizontal="center" vertical="center" wrapText="1"/>
    </xf>
    <xf numFmtId="3" fontId="21" fillId="11" borderId="1" xfId="0" applyNumberFormat="1" applyFont="1" applyFill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 wrapText="1"/>
    </xf>
    <xf numFmtId="3" fontId="16" fillId="0" borderId="1" xfId="0" applyNumberFormat="1" applyFont="1" applyBorder="1" applyAlignment="1">
      <alignment horizontal="center" vertical="center" wrapText="1"/>
    </xf>
    <xf numFmtId="3" fontId="16" fillId="6" borderId="1" xfId="0" applyNumberFormat="1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3" fontId="10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" fontId="23" fillId="13" borderId="1" xfId="0" applyNumberFormat="1" applyFont="1" applyFill="1" applyBorder="1" applyAlignment="1">
      <alignment horizontal="center" vertical="center"/>
    </xf>
    <xf numFmtId="1" fontId="25" fillId="13" borderId="1" xfId="0" applyNumberFormat="1" applyFont="1" applyFill="1" applyBorder="1" applyAlignment="1">
      <alignment horizontal="center" vertical="center"/>
    </xf>
    <xf numFmtId="1" fontId="24" fillId="13" borderId="1" xfId="0" applyNumberFormat="1" applyFont="1" applyFill="1" applyBorder="1" applyAlignment="1">
      <alignment horizontal="center" vertical="center" wrapText="1"/>
    </xf>
    <xf numFmtId="1" fontId="26" fillId="13" borderId="1" xfId="0" applyNumberFormat="1" applyFont="1" applyFill="1" applyBorder="1" applyAlignment="1">
      <alignment horizontal="center" vertical="center" wrapText="1"/>
    </xf>
    <xf numFmtId="1" fontId="24" fillId="13" borderId="0" xfId="0" applyNumberFormat="1" applyFont="1" applyFill="1" applyAlignment="1">
      <alignment horizontal="center" vertical="center" wrapText="1"/>
    </xf>
    <xf numFmtId="1" fontId="27" fillId="13" borderId="1" xfId="0" applyNumberFormat="1" applyFont="1" applyFill="1" applyBorder="1" applyAlignment="1">
      <alignment horizontal="center" vertical="center"/>
    </xf>
    <xf numFmtId="0" fontId="25" fillId="13" borderId="0" xfId="0" applyFont="1" applyFill="1"/>
    <xf numFmtId="3" fontId="23" fillId="13" borderId="1" xfId="0" applyNumberFormat="1" applyFont="1" applyFill="1" applyBorder="1" applyAlignment="1">
      <alignment horizontal="center" vertical="center"/>
    </xf>
    <xf numFmtId="3" fontId="24" fillId="13" borderId="1" xfId="0" applyNumberFormat="1" applyFont="1" applyFill="1" applyBorder="1" applyAlignment="1">
      <alignment horizontal="center" vertical="center" wrapText="1"/>
    </xf>
    <xf numFmtId="164" fontId="24" fillId="13" borderId="1" xfId="0" applyNumberFormat="1" applyFont="1" applyFill="1" applyBorder="1" applyAlignment="1">
      <alignment horizontal="center" vertical="center" wrapText="1"/>
    </xf>
    <xf numFmtId="3" fontId="23" fillId="13" borderId="1" xfId="0" applyNumberFormat="1" applyFont="1" applyFill="1" applyBorder="1" applyAlignment="1">
      <alignment horizontal="center" vertical="center" wrapText="1"/>
    </xf>
    <xf numFmtId="3" fontId="24" fillId="13" borderId="1" xfId="0" applyNumberFormat="1" applyFont="1" applyFill="1" applyBorder="1" applyAlignment="1">
      <alignment horizontal="center" vertical="center"/>
    </xf>
    <xf numFmtId="4" fontId="24" fillId="13" borderId="1" xfId="0" applyNumberFormat="1" applyFont="1" applyFill="1" applyBorder="1" applyAlignment="1">
      <alignment horizontal="center" vertical="center" wrapText="1"/>
    </xf>
    <xf numFmtId="3" fontId="25" fillId="13" borderId="1" xfId="0" applyNumberFormat="1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29" fillId="8" borderId="1" xfId="0" applyFont="1" applyFill="1" applyBorder="1" applyAlignment="1">
      <alignment horizontal="center" vertical="center"/>
    </xf>
    <xf numFmtId="0" fontId="30" fillId="8" borderId="1" xfId="0" applyFont="1" applyFill="1" applyBorder="1" applyAlignment="1">
      <alignment horizontal="center" vertical="center" wrapText="1"/>
    </xf>
    <xf numFmtId="3" fontId="9" fillId="15" borderId="1" xfId="0" applyNumberFormat="1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horizontal="center" vertical="center" wrapText="1"/>
    </xf>
    <xf numFmtId="3" fontId="10" fillId="16" borderId="1" xfId="0" applyNumberFormat="1" applyFont="1" applyFill="1" applyBorder="1" applyAlignment="1">
      <alignment horizontal="center" vertical="center" wrapText="1"/>
    </xf>
    <xf numFmtId="3" fontId="21" fillId="16" borderId="1" xfId="0" applyNumberFormat="1" applyFont="1" applyFill="1" applyBorder="1" applyAlignment="1">
      <alignment horizontal="center" vertical="center" wrapText="1"/>
    </xf>
    <xf numFmtId="3" fontId="16" fillId="16" borderId="1" xfId="0" applyNumberFormat="1" applyFont="1" applyFill="1" applyBorder="1" applyAlignment="1">
      <alignment horizontal="center" vertical="center" wrapText="1"/>
    </xf>
    <xf numFmtId="3" fontId="9" fillId="16" borderId="1" xfId="0" applyNumberFormat="1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/>
    </xf>
    <xf numFmtId="0" fontId="21" fillId="16" borderId="1" xfId="0" applyFont="1" applyFill="1" applyBorder="1" applyAlignment="1">
      <alignment horizontal="center" vertical="center"/>
    </xf>
    <xf numFmtId="3" fontId="17" fillId="16" borderId="1" xfId="0" applyNumberFormat="1" applyFont="1" applyFill="1" applyBorder="1" applyAlignment="1">
      <alignment horizontal="center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3" fontId="5" fillId="17" borderId="1" xfId="0" applyNumberFormat="1" applyFont="1" applyFill="1" applyBorder="1" applyAlignment="1">
      <alignment horizontal="center" vertical="center"/>
    </xf>
    <xf numFmtId="3" fontId="30" fillId="17" borderId="1" xfId="0" applyNumberFormat="1" applyFont="1" applyFill="1" applyBorder="1" applyAlignment="1">
      <alignment horizontal="center" vertical="center"/>
    </xf>
    <xf numFmtId="3" fontId="5" fillId="17" borderId="1" xfId="0" applyNumberFormat="1" applyFont="1" applyFill="1" applyBorder="1" applyAlignment="1">
      <alignment horizontal="center" vertical="center" wrapText="1"/>
    </xf>
    <xf numFmtId="3" fontId="10" fillId="17" borderId="1" xfId="0" applyNumberFormat="1" applyFont="1" applyFill="1" applyBorder="1" applyAlignment="1">
      <alignment horizontal="center" vertic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3" fontId="33" fillId="17" borderId="1" xfId="0" applyNumberFormat="1" applyFont="1" applyFill="1" applyBorder="1" applyAlignment="1">
      <alignment horizontal="center" vertical="center" wrapText="1"/>
    </xf>
    <xf numFmtId="3" fontId="34" fillId="17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35" fillId="3" borderId="0" xfId="0" applyFont="1" applyFill="1" applyAlignment="1">
      <alignment wrapText="1"/>
    </xf>
    <xf numFmtId="0" fontId="5" fillId="3" borderId="0" xfId="0" applyFont="1" applyFill="1" applyAlignment="1">
      <alignment horizontal="center" vertical="center"/>
    </xf>
    <xf numFmtId="1" fontId="24" fillId="3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3" fontId="17" fillId="3" borderId="1" xfId="0" applyNumberFormat="1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/>
    </xf>
    <xf numFmtId="3" fontId="6" fillId="18" borderId="1" xfId="0" applyNumberFormat="1" applyFont="1" applyFill="1" applyBorder="1" applyAlignment="1">
      <alignment horizontal="center" vertical="center"/>
    </xf>
    <xf numFmtId="3" fontId="6" fillId="18" borderId="1" xfId="0" applyNumberFormat="1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3" fontId="6" fillId="17" borderId="1" xfId="0" applyNumberFormat="1" applyFont="1" applyFill="1" applyBorder="1" applyAlignment="1">
      <alignment horizontal="center" vertical="center"/>
    </xf>
    <xf numFmtId="3" fontId="29" fillId="17" borderId="1" xfId="0" applyNumberFormat="1" applyFont="1" applyFill="1" applyBorder="1" applyAlignment="1">
      <alignment horizontal="center" vertical="center"/>
    </xf>
    <xf numFmtId="3" fontId="29" fillId="17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3" fontId="4" fillId="17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2" fontId="5" fillId="0" borderId="1" xfId="0" applyNumberFormat="1" applyFont="1" applyBorder="1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/>
    </xf>
    <xf numFmtId="2" fontId="10" fillId="2" borderId="1" xfId="0" applyNumberFormat="1" applyFont="1" applyFill="1" applyBorder="1" applyAlignment="1">
      <alignment horizontal="center" vertical="center" wrapText="1"/>
    </xf>
    <xf numFmtId="2" fontId="10" fillId="6" borderId="1" xfId="0" applyNumberFormat="1" applyFont="1" applyFill="1" applyBorder="1" applyAlignment="1">
      <alignment horizontal="center" vertical="center" wrapText="1"/>
    </xf>
    <xf numFmtId="2" fontId="31" fillId="6" borderId="1" xfId="0" applyNumberFormat="1" applyFont="1" applyFill="1" applyBorder="1" applyAlignment="1">
      <alignment horizontal="center" vertical="center" wrapText="1"/>
    </xf>
    <xf numFmtId="2" fontId="10" fillId="16" borderId="1" xfId="0" applyNumberFormat="1" applyFont="1" applyFill="1" applyBorder="1" applyAlignment="1">
      <alignment horizontal="center" vertical="center" wrapText="1"/>
    </xf>
    <xf numFmtId="2" fontId="36" fillId="18" borderId="1" xfId="0" applyNumberFormat="1" applyFont="1" applyFill="1" applyBorder="1" applyAlignment="1">
      <alignment horizontal="center" vertical="center"/>
    </xf>
    <xf numFmtId="2" fontId="6" fillId="18" borderId="1" xfId="0" applyNumberFormat="1" applyFont="1" applyFill="1" applyBorder="1" applyAlignment="1">
      <alignment horizontal="center" vertical="center"/>
    </xf>
    <xf numFmtId="2" fontId="6" fillId="18" borderId="1" xfId="0" applyNumberFormat="1" applyFont="1" applyFill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2" fontId="10" fillId="11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37" fillId="18" borderId="1" xfId="0" applyFont="1" applyFill="1" applyBorder="1" applyAlignment="1">
      <alignment horizontal="center" vertical="center"/>
    </xf>
    <xf numFmtId="2" fontId="37" fillId="18" borderId="1" xfId="0" applyNumberFormat="1" applyFont="1" applyFill="1" applyBorder="1" applyAlignment="1">
      <alignment horizontal="center" vertical="center"/>
    </xf>
    <xf numFmtId="3" fontId="37" fillId="18" borderId="1" xfId="0" applyNumberFormat="1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wrapText="1"/>
    </xf>
    <xf numFmtId="0" fontId="38" fillId="7" borderId="1" xfId="0" applyFont="1" applyFill="1" applyBorder="1" applyAlignment="1">
      <alignment horizontal="center" vertical="center" wrapText="1"/>
    </xf>
    <xf numFmtId="3" fontId="24" fillId="0" borderId="1" xfId="0" applyNumberFormat="1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39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28" fillId="1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1" fontId="11" fillId="2" borderId="4" xfId="0" applyNumberFormat="1" applyFont="1" applyFill="1" applyBorder="1" applyAlignment="1">
      <alignment horizontal="center" vertical="center"/>
    </xf>
    <xf numFmtId="0" fontId="0" fillId="0" borderId="1" xfId="0" applyBorder="1"/>
    <xf numFmtId="2" fontId="10" fillId="18" borderId="1" xfId="0" applyNumberFormat="1" applyFont="1" applyFill="1" applyBorder="1" applyAlignment="1">
      <alignment horizontal="center" vertical="center" wrapText="1"/>
    </xf>
    <xf numFmtId="3" fontId="24" fillId="18" borderId="1" xfId="0" applyNumberFormat="1" applyFont="1" applyFill="1" applyBorder="1" applyAlignment="1">
      <alignment horizontal="center" vertical="center" wrapText="1"/>
    </xf>
    <xf numFmtId="3" fontId="16" fillId="18" borderId="1" xfId="0" applyNumberFormat="1" applyFont="1" applyFill="1" applyBorder="1" applyAlignment="1">
      <alignment horizontal="center" vertical="center" wrapText="1"/>
    </xf>
    <xf numFmtId="3" fontId="10" fillId="18" borderId="1" xfId="0" applyNumberFormat="1" applyFont="1" applyFill="1" applyBorder="1" applyAlignment="1">
      <alignment horizontal="center" vertical="center" wrapText="1"/>
    </xf>
    <xf numFmtId="2" fontId="31" fillId="0" borderId="1" xfId="0" applyNumberFormat="1" applyFont="1" applyBorder="1" applyAlignment="1">
      <alignment horizontal="center" vertical="center" wrapText="1"/>
    </xf>
    <xf numFmtId="3" fontId="23" fillId="0" borderId="1" xfId="0" applyNumberFormat="1" applyFont="1" applyBorder="1" applyAlignment="1">
      <alignment horizontal="center" vertical="center" wrapText="1"/>
    </xf>
    <xf numFmtId="1" fontId="24" fillId="0" borderId="1" xfId="0" applyNumberFormat="1" applyFont="1" applyBorder="1" applyAlignment="1">
      <alignment horizontal="center" vertical="center" wrapText="1"/>
    </xf>
    <xf numFmtId="3" fontId="30" fillId="0" borderId="1" xfId="0" applyNumberFormat="1" applyFont="1" applyBorder="1" applyAlignment="1">
      <alignment horizontal="center" vertical="center" wrapText="1"/>
    </xf>
    <xf numFmtId="1" fontId="23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3" fontId="21" fillId="2" borderId="1" xfId="0" applyNumberFormat="1" applyFont="1" applyFill="1" applyBorder="1" applyAlignment="1">
      <alignment horizontal="center" vertical="center" wrapText="1"/>
    </xf>
    <xf numFmtId="2" fontId="3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29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3" fontId="29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37" fillId="0" borderId="1" xfId="0" applyFont="1" applyBorder="1" applyAlignment="1">
      <alignment horizontal="center" vertical="center"/>
    </xf>
    <xf numFmtId="2" fontId="37" fillId="0" borderId="1" xfId="0" applyNumberFormat="1" applyFont="1" applyBorder="1" applyAlignment="1">
      <alignment horizontal="center" vertical="center"/>
    </xf>
    <xf numFmtId="3" fontId="37" fillId="0" borderId="1" xfId="0" applyNumberFormat="1" applyFont="1" applyBorder="1" applyAlignment="1">
      <alignment horizontal="center" vertical="center" wrapText="1"/>
    </xf>
    <xf numFmtId="0" fontId="25" fillId="0" borderId="0" xfId="0" applyFont="1"/>
    <xf numFmtId="1" fontId="23" fillId="20" borderId="1" xfId="0" applyNumberFormat="1" applyFont="1" applyFill="1" applyBorder="1" applyAlignment="1">
      <alignment horizontal="center" vertical="center"/>
    </xf>
    <xf numFmtId="1" fontId="25" fillId="20" borderId="1" xfId="0" applyNumberFormat="1" applyFont="1" applyFill="1" applyBorder="1" applyAlignment="1">
      <alignment horizontal="center" vertical="center"/>
    </xf>
    <xf numFmtId="1" fontId="24" fillId="20" borderId="1" xfId="0" applyNumberFormat="1" applyFont="1" applyFill="1" applyBorder="1" applyAlignment="1">
      <alignment horizontal="center" vertical="center" wrapText="1"/>
    </xf>
    <xf numFmtId="1" fontId="26" fillId="20" borderId="1" xfId="0" applyNumberFormat="1" applyFont="1" applyFill="1" applyBorder="1" applyAlignment="1">
      <alignment horizontal="center" vertical="center" wrapText="1"/>
    </xf>
    <xf numFmtId="1" fontId="27" fillId="20" borderId="1" xfId="0" applyNumberFormat="1" applyFont="1" applyFill="1" applyBorder="1" applyAlignment="1">
      <alignment horizontal="center" vertical="center"/>
    </xf>
    <xf numFmtId="1" fontId="24" fillId="20" borderId="1" xfId="0" applyNumberFormat="1" applyFont="1" applyFill="1" applyBorder="1" applyAlignment="1">
      <alignment horizontal="center" vertical="center"/>
    </xf>
    <xf numFmtId="3" fontId="30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 wrapText="1"/>
    </xf>
    <xf numFmtId="3" fontId="32" fillId="0" borderId="1" xfId="0" applyNumberFormat="1" applyFont="1" applyBorder="1" applyAlignment="1">
      <alignment horizontal="center" vertical="center" wrapText="1"/>
    </xf>
    <xf numFmtId="3" fontId="33" fillId="0" borderId="1" xfId="0" applyNumberFormat="1" applyFont="1" applyBorder="1" applyAlignment="1">
      <alignment horizontal="center" vertical="center" wrapText="1"/>
    </xf>
    <xf numFmtId="3" fontId="34" fillId="0" borderId="1" xfId="0" applyNumberFormat="1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 wrapText="1"/>
    </xf>
    <xf numFmtId="0" fontId="10" fillId="21" borderId="1" xfId="0" applyFont="1" applyFill="1" applyBorder="1" applyAlignment="1">
      <alignment horizontal="center" vertical="center"/>
    </xf>
    <xf numFmtId="0" fontId="9" fillId="21" borderId="1" xfId="0" applyFont="1" applyFill="1" applyBorder="1" applyAlignment="1">
      <alignment horizontal="center" vertical="center"/>
    </xf>
    <xf numFmtId="0" fontId="15" fillId="21" borderId="1" xfId="0" applyFont="1" applyFill="1" applyBorder="1" applyAlignment="1">
      <alignment horizontal="center" vertical="center" wrapText="1"/>
    </xf>
    <xf numFmtId="0" fontId="10" fillId="21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/>
    </xf>
    <xf numFmtId="1" fontId="11" fillId="22" borderId="1" xfId="0" applyNumberFormat="1" applyFont="1" applyFill="1" applyBorder="1" applyAlignment="1">
      <alignment horizontal="center" vertical="center"/>
    </xf>
    <xf numFmtId="0" fontId="10" fillId="22" borderId="1" xfId="0" applyFont="1" applyFill="1" applyBorder="1" applyAlignment="1">
      <alignment horizontal="center" vertical="center"/>
    </xf>
    <xf numFmtId="1" fontId="10" fillId="22" borderId="1" xfId="0" applyNumberFormat="1" applyFont="1" applyFill="1" applyBorder="1" applyAlignment="1">
      <alignment horizontal="center" vertical="center"/>
    </xf>
    <xf numFmtId="0" fontId="16" fillId="21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/>
    </xf>
    <xf numFmtId="3" fontId="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2" fontId="10" fillId="19" borderId="1" xfId="0" applyNumberFormat="1" applyFont="1" applyFill="1" applyBorder="1" applyAlignment="1">
      <alignment horizontal="center" vertical="center" wrapText="1"/>
    </xf>
    <xf numFmtId="2" fontId="31" fillId="19" borderId="1" xfId="0" applyNumberFormat="1" applyFont="1" applyFill="1" applyBorder="1" applyAlignment="1">
      <alignment horizontal="center" vertical="center" wrapText="1"/>
    </xf>
    <xf numFmtId="2" fontId="36" fillId="19" borderId="1" xfId="0" applyNumberFormat="1" applyFont="1" applyFill="1" applyBorder="1" applyAlignment="1">
      <alignment horizontal="center" vertical="center"/>
    </xf>
    <xf numFmtId="2" fontId="6" fillId="19" borderId="1" xfId="0" applyNumberFormat="1" applyFont="1" applyFill="1" applyBorder="1" applyAlignment="1">
      <alignment horizontal="center" vertical="center"/>
    </xf>
    <xf numFmtId="2" fontId="6" fillId="19" borderId="1" xfId="0" applyNumberFormat="1" applyFont="1" applyFill="1" applyBorder="1" applyAlignment="1">
      <alignment horizontal="center" vertical="center" wrapText="1"/>
    </xf>
    <xf numFmtId="3" fontId="16" fillId="19" borderId="1" xfId="0" applyNumberFormat="1" applyFont="1" applyFill="1" applyBorder="1" applyAlignment="1">
      <alignment horizontal="center" vertical="center" wrapText="1"/>
    </xf>
    <xf numFmtId="3" fontId="6" fillId="19" borderId="1" xfId="0" applyNumberFormat="1" applyFont="1" applyFill="1" applyBorder="1" applyAlignment="1">
      <alignment horizontal="center" vertical="center"/>
    </xf>
    <xf numFmtId="3" fontId="30" fillId="19" borderId="1" xfId="0" applyNumberFormat="1" applyFont="1" applyFill="1" applyBorder="1" applyAlignment="1">
      <alignment horizontal="center" vertical="center" wrapText="1"/>
    </xf>
    <xf numFmtId="3" fontId="5" fillId="19" borderId="1" xfId="0" applyNumberFormat="1" applyFont="1" applyFill="1" applyBorder="1" applyAlignment="1">
      <alignment horizontal="center" vertical="center"/>
    </xf>
    <xf numFmtId="3" fontId="30" fillId="19" borderId="1" xfId="0" applyNumberFormat="1" applyFont="1" applyFill="1" applyBorder="1" applyAlignment="1">
      <alignment horizontal="center" vertical="center"/>
    </xf>
    <xf numFmtId="0" fontId="11" fillId="19" borderId="1" xfId="0" applyFont="1" applyFill="1" applyBorder="1" applyAlignment="1">
      <alignment horizontal="center" vertical="center"/>
    </xf>
    <xf numFmtId="3" fontId="4" fillId="19" borderId="1" xfId="0" applyNumberFormat="1" applyFont="1" applyFill="1" applyBorder="1" applyAlignment="1">
      <alignment horizontal="center" vertical="center" wrapText="1"/>
    </xf>
    <xf numFmtId="3" fontId="10" fillId="19" borderId="1" xfId="0" applyNumberFormat="1" applyFont="1" applyFill="1" applyBorder="1" applyAlignment="1">
      <alignment horizontal="center" vertical="center" wrapText="1"/>
    </xf>
    <xf numFmtId="3" fontId="32" fillId="19" borderId="1" xfId="0" applyNumberFormat="1" applyFont="1" applyFill="1" applyBorder="1" applyAlignment="1">
      <alignment horizontal="center" vertical="center" wrapText="1"/>
    </xf>
    <xf numFmtId="3" fontId="29" fillId="19" borderId="1" xfId="0" applyNumberFormat="1" applyFont="1" applyFill="1" applyBorder="1" applyAlignment="1">
      <alignment horizontal="center" vertical="center"/>
    </xf>
    <xf numFmtId="3" fontId="29" fillId="19" borderId="1" xfId="0" applyNumberFormat="1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wrapText="1"/>
    </xf>
    <xf numFmtId="1" fontId="24" fillId="21" borderId="1" xfId="0" applyNumberFormat="1" applyFont="1" applyFill="1" applyBorder="1" applyAlignment="1">
      <alignment horizontal="center" vertical="center" wrapText="1"/>
    </xf>
    <xf numFmtId="3" fontId="24" fillId="21" borderId="1" xfId="0" applyNumberFormat="1" applyFont="1" applyFill="1" applyBorder="1" applyAlignment="1">
      <alignment horizontal="center" vertical="center" wrapText="1"/>
    </xf>
    <xf numFmtId="3" fontId="21" fillId="19" borderId="1" xfId="0" applyNumberFormat="1" applyFont="1" applyFill="1" applyBorder="1" applyAlignment="1">
      <alignment horizontal="center" vertical="center" wrapText="1"/>
    </xf>
    <xf numFmtId="3" fontId="6" fillId="19" borderId="1" xfId="0" applyNumberFormat="1" applyFont="1" applyFill="1" applyBorder="1" applyAlignment="1">
      <alignment horizontal="center" vertical="center" wrapText="1"/>
    </xf>
    <xf numFmtId="3" fontId="37" fillId="19" borderId="1" xfId="0" applyNumberFormat="1" applyFont="1" applyFill="1" applyBorder="1" applyAlignment="1">
      <alignment horizontal="center" vertical="center" wrapText="1"/>
    </xf>
    <xf numFmtId="0" fontId="21" fillId="19" borderId="1" xfId="0" applyFont="1" applyFill="1" applyBorder="1" applyAlignment="1">
      <alignment horizontal="center" vertical="center"/>
    </xf>
    <xf numFmtId="1" fontId="27" fillId="0" borderId="1" xfId="0" applyNumberFormat="1" applyFont="1" applyBorder="1" applyAlignment="1">
      <alignment horizontal="center" vertical="center"/>
    </xf>
    <xf numFmtId="3" fontId="5" fillId="19" borderId="4" xfId="0" applyNumberFormat="1" applyFont="1" applyFill="1" applyBorder="1" applyAlignment="1">
      <alignment horizontal="center" vertical="center"/>
    </xf>
    <xf numFmtId="0" fontId="1" fillId="19" borderId="5" xfId="0" applyFont="1" applyFill="1" applyBorder="1" applyAlignment="1">
      <alignment horizontal="center" vertical="center"/>
    </xf>
    <xf numFmtId="0" fontId="22" fillId="19" borderId="5" xfId="0" applyFont="1" applyFill="1" applyBorder="1" applyAlignment="1">
      <alignment horizontal="center" vertical="center"/>
    </xf>
    <xf numFmtId="3" fontId="24" fillId="3" borderId="5" xfId="0" applyNumberFormat="1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 wrapText="1"/>
    </xf>
    <xf numFmtId="2" fontId="10" fillId="19" borderId="5" xfId="0" applyNumberFormat="1" applyFont="1" applyFill="1" applyBorder="1" applyAlignment="1">
      <alignment horizontal="center" vertical="center" wrapText="1"/>
    </xf>
    <xf numFmtId="3" fontId="21" fillId="19" borderId="5" xfId="0" applyNumberFormat="1" applyFont="1" applyFill="1" applyBorder="1" applyAlignment="1">
      <alignment horizontal="center" vertical="center" wrapText="1"/>
    </xf>
    <xf numFmtId="3" fontId="16" fillId="19" borderId="5" xfId="0" applyNumberFormat="1" applyFont="1" applyFill="1" applyBorder="1" applyAlignment="1">
      <alignment horizontal="center" vertical="center" wrapText="1"/>
    </xf>
    <xf numFmtId="3" fontId="10" fillId="19" borderId="5" xfId="0" applyNumberFormat="1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/>
    </xf>
    <xf numFmtId="9" fontId="5" fillId="4" borderId="5" xfId="1" applyFont="1" applyFill="1" applyBorder="1" applyAlignment="1">
      <alignment horizontal="center" vertical="center"/>
    </xf>
    <xf numFmtId="0" fontId="24" fillId="21" borderId="1" xfId="0" applyFont="1" applyFill="1" applyBorder="1" applyAlignment="1">
      <alignment horizontal="center" vertical="center" wrapText="1"/>
    </xf>
    <xf numFmtId="1" fontId="26" fillId="21" borderId="1" xfId="0" applyNumberFormat="1" applyFont="1" applyFill="1" applyBorder="1" applyAlignment="1">
      <alignment horizontal="center" vertical="center" wrapText="1"/>
    </xf>
    <xf numFmtId="1" fontId="24" fillId="21" borderId="0" xfId="0" applyNumberFormat="1" applyFont="1" applyFill="1" applyAlignment="1">
      <alignment horizontal="center" vertical="center" wrapText="1"/>
    </xf>
    <xf numFmtId="1" fontId="27" fillId="21" borderId="1" xfId="0" applyNumberFormat="1" applyFont="1" applyFill="1" applyBorder="1" applyAlignment="1">
      <alignment horizontal="center" vertical="center"/>
    </xf>
    <xf numFmtId="3" fontId="9" fillId="21" borderId="1" xfId="0" applyNumberFormat="1" applyFont="1" applyFill="1" applyBorder="1" applyAlignment="1">
      <alignment horizontal="center" vertical="center" wrapText="1"/>
    </xf>
    <xf numFmtId="1" fontId="24" fillId="21" borderId="1" xfId="0" applyNumberFormat="1" applyFont="1" applyFill="1" applyBorder="1" applyAlignment="1">
      <alignment horizontal="center" vertical="center"/>
    </xf>
    <xf numFmtId="0" fontId="16" fillId="21" borderId="1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3" fontId="24" fillId="21" borderId="1" xfId="0" applyNumberFormat="1" applyFont="1" applyFill="1" applyBorder="1" applyAlignment="1">
      <alignment horizontal="center" vertical="center"/>
    </xf>
    <xf numFmtId="4" fontId="24" fillId="21" borderId="1" xfId="0" applyNumberFormat="1" applyFont="1" applyFill="1" applyBorder="1" applyAlignment="1">
      <alignment horizontal="center" vertical="center" wrapText="1"/>
    </xf>
    <xf numFmtId="1" fontId="24" fillId="21" borderId="5" xfId="0" applyNumberFormat="1" applyFont="1" applyFill="1" applyBorder="1" applyAlignment="1">
      <alignment horizontal="center" vertical="center" wrapText="1"/>
    </xf>
    <xf numFmtId="0" fontId="16" fillId="21" borderId="5" xfId="0" applyFont="1" applyFill="1" applyBorder="1" applyAlignment="1">
      <alignment horizontal="center" vertical="center" wrapText="1"/>
    </xf>
    <xf numFmtId="0" fontId="9" fillId="21" borderId="5" xfId="0" applyFont="1" applyFill="1" applyBorder="1" applyAlignment="1">
      <alignment horizontal="center" vertical="center"/>
    </xf>
    <xf numFmtId="0" fontId="15" fillId="21" borderId="5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 wrapText="1"/>
    </xf>
    <xf numFmtId="0" fontId="14" fillId="21" borderId="1" xfId="0" applyFont="1" applyFill="1" applyBorder="1" applyAlignment="1">
      <alignment horizontal="center" vertical="center"/>
    </xf>
    <xf numFmtId="3" fontId="25" fillId="21" borderId="1" xfId="0" applyNumberFormat="1" applyFont="1" applyFill="1" applyBorder="1" applyAlignment="1">
      <alignment horizontal="center" vertical="center"/>
    </xf>
    <xf numFmtId="3" fontId="15" fillId="19" borderId="1" xfId="0" applyNumberFormat="1" applyFont="1" applyFill="1" applyBorder="1" applyAlignment="1">
      <alignment horizontal="center" vertical="center"/>
    </xf>
    <xf numFmtId="3" fontId="17" fillId="19" borderId="1" xfId="0" applyNumberFormat="1" applyFont="1" applyFill="1" applyBorder="1" applyAlignment="1">
      <alignment horizontal="center" vertical="center" wrapText="1"/>
    </xf>
    <xf numFmtId="3" fontId="15" fillId="19" borderId="5" xfId="0" applyNumberFormat="1" applyFont="1" applyFill="1" applyBorder="1" applyAlignment="1">
      <alignment horizontal="center" vertical="center"/>
    </xf>
    <xf numFmtId="165" fontId="24" fillId="21" borderId="1" xfId="0" applyNumberFormat="1" applyFont="1" applyFill="1" applyBorder="1" applyAlignment="1">
      <alignment horizontal="center" vertical="center" wrapText="1"/>
    </xf>
    <xf numFmtId="1" fontId="24" fillId="0" borderId="5" xfId="0" applyNumberFormat="1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3" fontId="15" fillId="0" borderId="5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6" fillId="21" borderId="5" xfId="0" applyFont="1" applyFill="1" applyBorder="1" applyAlignment="1">
      <alignment horizontal="center" vertical="center"/>
    </xf>
    <xf numFmtId="2" fontId="6" fillId="19" borderId="5" xfId="0" applyNumberFormat="1" applyFont="1" applyFill="1" applyBorder="1" applyAlignment="1">
      <alignment horizontal="center" vertical="center"/>
    </xf>
    <xf numFmtId="3" fontId="37" fillId="19" borderId="5" xfId="0" applyNumberFormat="1" applyFont="1" applyFill="1" applyBorder="1" applyAlignment="1">
      <alignment horizontal="center" vertical="center" wrapText="1"/>
    </xf>
    <xf numFmtId="3" fontId="6" fillId="19" borderId="5" xfId="0" applyNumberFormat="1" applyFont="1" applyFill="1" applyBorder="1" applyAlignment="1">
      <alignment horizontal="center" vertical="center"/>
    </xf>
    <xf numFmtId="0" fontId="5" fillId="19" borderId="5" xfId="0" applyFont="1" applyFill="1" applyBorder="1" applyAlignment="1">
      <alignment wrapText="1"/>
    </xf>
    <xf numFmtId="0" fontId="11" fillId="21" borderId="5" xfId="0" applyFont="1" applyFill="1" applyBorder="1" applyAlignment="1">
      <alignment horizontal="center" vertical="center"/>
    </xf>
    <xf numFmtId="0" fontId="0" fillId="0" borderId="5" xfId="0" applyBorder="1"/>
    <xf numFmtId="0" fontId="9" fillId="21" borderId="5" xfId="0" applyFont="1" applyFill="1" applyBorder="1" applyAlignment="1">
      <alignment horizontal="center" vertical="center" wrapText="1"/>
    </xf>
    <xf numFmtId="164" fontId="25" fillId="21" borderId="5" xfId="0" applyNumberFormat="1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center" vertical="center"/>
    </xf>
    <xf numFmtId="1" fontId="4" fillId="22" borderId="1" xfId="0" applyNumberFormat="1" applyFont="1" applyFill="1" applyBorder="1" applyAlignment="1">
      <alignment horizontal="center" vertical="center"/>
    </xf>
    <xf numFmtId="1" fontId="41" fillId="22" borderId="1" xfId="0" applyNumberFormat="1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horizontal="center" vertical="center" wrapText="1"/>
    </xf>
    <xf numFmtId="0" fontId="41" fillId="22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1" fontId="10" fillId="8" borderId="1" xfId="0" applyNumberFormat="1" applyFont="1" applyFill="1" applyBorder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/>
    </xf>
    <xf numFmtId="0" fontId="42" fillId="22" borderId="1" xfId="0" applyFont="1" applyFill="1" applyBorder="1" applyAlignment="1">
      <alignment horizontal="center" vertical="center"/>
    </xf>
    <xf numFmtId="1" fontId="42" fillId="22" borderId="1" xfId="0" applyNumberFormat="1" applyFont="1" applyFill="1" applyBorder="1" applyAlignment="1">
      <alignment horizontal="center" vertical="center"/>
    </xf>
    <xf numFmtId="3" fontId="40" fillId="19" borderId="2" xfId="0" applyNumberFormat="1" applyFont="1" applyFill="1" applyBorder="1" applyAlignment="1">
      <alignment horizontal="center" vertical="center"/>
    </xf>
    <xf numFmtId="3" fontId="40" fillId="19" borderId="3" xfId="0" applyNumberFormat="1" applyFont="1" applyFill="1" applyBorder="1" applyAlignment="1">
      <alignment horizontal="center" vertical="center"/>
    </xf>
    <xf numFmtId="0" fontId="0" fillId="0" borderId="0" xfId="0" applyFont="1"/>
    <xf numFmtId="1" fontId="26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3" fontId="26" fillId="21" borderId="1" xfId="0" applyNumberFormat="1" applyFont="1" applyFill="1" applyBorder="1" applyAlignment="1">
      <alignment horizontal="center" vertical="center" wrapText="1"/>
    </xf>
    <xf numFmtId="2" fontId="5" fillId="19" borderId="1" xfId="0" applyNumberFormat="1" applyFont="1" applyFill="1" applyBorder="1" applyAlignment="1">
      <alignment horizontal="center" vertical="center" wrapText="1"/>
    </xf>
    <xf numFmtId="3" fontId="19" fillId="19" borderId="1" xfId="0" applyNumberFormat="1" applyFont="1" applyFill="1" applyBorder="1" applyAlignment="1">
      <alignment horizontal="center" vertical="center" wrapText="1"/>
    </xf>
    <xf numFmtId="3" fontId="15" fillId="19" borderId="1" xfId="0" applyNumberFormat="1" applyFont="1" applyFill="1" applyBorder="1" applyAlignment="1">
      <alignment horizontal="center" vertical="center" wrapText="1"/>
    </xf>
    <xf numFmtId="0" fontId="14" fillId="22" borderId="1" xfId="0" applyFont="1" applyFill="1" applyBorder="1" applyAlignment="1">
      <alignment horizontal="center" vertical="center"/>
    </xf>
    <xf numFmtId="1" fontId="14" fillId="22" borderId="1" xfId="0" applyNumberFormat="1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99FF33"/>
      <color rgb="FFFF99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5"/>
  <sheetViews>
    <sheetView workbookViewId="0">
      <selection sqref="A1:XFD1048576"/>
    </sheetView>
  </sheetViews>
  <sheetFormatPr defaultRowHeight="28.5" customHeight="1"/>
  <cols>
    <col min="1" max="1" width="4.28515625" customWidth="1"/>
    <col min="2" max="2" width="8" style="87" customWidth="1"/>
    <col min="3" max="3" width="7.140625" style="56" customWidth="1"/>
    <col min="4" max="4" width="29" customWidth="1"/>
    <col min="6" max="6" width="24" customWidth="1"/>
    <col min="7" max="7" width="10.85546875" customWidth="1"/>
    <col min="8" max="8" width="10.5703125" hidden="1" customWidth="1"/>
    <col min="9" max="9" width="12.5703125" style="67" bestFit="1" customWidth="1"/>
    <col min="10" max="10" width="9.7109375" style="56" bestFit="1" customWidth="1"/>
    <col min="11" max="11" width="22.42578125" customWidth="1"/>
    <col min="12" max="12" width="9.140625" hidden="1" customWidth="1"/>
    <col min="13" max="13" width="14.5703125" hidden="1" customWidth="1"/>
    <col min="14" max="14" width="11.85546875" hidden="1" customWidth="1"/>
    <col min="15" max="15" width="18.140625" hidden="1" customWidth="1"/>
    <col min="16" max="16" width="8.140625" customWidth="1"/>
    <col min="17" max="17" width="7.42578125" style="56" customWidth="1"/>
    <col min="18" max="18" width="27.7109375" customWidth="1"/>
    <col min="19" max="19" width="15.7109375" customWidth="1"/>
    <col min="20" max="20" width="25.42578125" customWidth="1"/>
    <col min="21" max="21" width="9.140625" style="151"/>
    <col min="22" max="22" width="9" style="67" customWidth="1"/>
    <col min="23" max="23" width="13.85546875" style="56" hidden="1" customWidth="1"/>
    <col min="24" max="27" width="13.7109375" customWidth="1"/>
    <col min="28" max="28" width="18.85546875" customWidth="1"/>
    <col min="29" max="29" width="13.7109375" customWidth="1"/>
    <col min="30" max="30" width="13.28515625" customWidth="1"/>
  </cols>
  <sheetData>
    <row r="1" spans="1:29" ht="28.5" customHeight="1">
      <c r="A1" s="1"/>
      <c r="B1" s="81" t="s">
        <v>0</v>
      </c>
      <c r="C1" s="57"/>
      <c r="D1" s="2" t="s">
        <v>1</v>
      </c>
      <c r="E1" s="3" t="s">
        <v>2</v>
      </c>
      <c r="F1" s="2" t="s">
        <v>3</v>
      </c>
      <c r="G1" s="2"/>
      <c r="H1" s="2" t="s">
        <v>429</v>
      </c>
      <c r="I1" s="62" t="s">
        <v>426</v>
      </c>
      <c r="J1" s="72" t="s">
        <v>4</v>
      </c>
      <c r="K1" s="2" t="s">
        <v>5</v>
      </c>
      <c r="L1" s="5" t="s">
        <v>6</v>
      </c>
      <c r="M1" s="2" t="s">
        <v>7</v>
      </c>
      <c r="N1" s="2" t="s">
        <v>8</v>
      </c>
      <c r="O1" s="6" t="s">
        <v>9</v>
      </c>
      <c r="P1" s="88" t="s">
        <v>0</v>
      </c>
      <c r="Q1" s="57"/>
      <c r="R1" s="2" t="s">
        <v>1</v>
      </c>
      <c r="S1" s="7" t="s">
        <v>2</v>
      </c>
      <c r="T1" s="2" t="s">
        <v>3</v>
      </c>
      <c r="U1" s="140"/>
      <c r="V1" s="68"/>
      <c r="W1" s="72" t="s">
        <v>10</v>
      </c>
      <c r="X1" s="2" t="s">
        <v>5</v>
      </c>
      <c r="Y1" s="5" t="s">
        <v>6</v>
      </c>
      <c r="Z1" s="8" t="s">
        <v>7</v>
      </c>
      <c r="AA1" s="8" t="s">
        <v>8</v>
      </c>
      <c r="AB1" s="9" t="s">
        <v>9</v>
      </c>
      <c r="AC1" s="10"/>
    </row>
    <row r="2" spans="1:29" ht="28.5" customHeight="1">
      <c r="A2" s="1"/>
      <c r="B2" s="82"/>
      <c r="C2" s="58"/>
      <c r="D2" s="12" t="s">
        <v>11</v>
      </c>
      <c r="E2" s="11"/>
      <c r="F2" s="11"/>
      <c r="G2" s="11"/>
      <c r="H2" s="11"/>
      <c r="I2" s="63"/>
      <c r="J2" s="58"/>
      <c r="K2" s="11"/>
      <c r="L2" s="11"/>
      <c r="M2" s="11"/>
      <c r="N2" s="11"/>
      <c r="O2" s="13"/>
      <c r="P2" s="88"/>
      <c r="Q2" s="58"/>
      <c r="R2" s="11" t="s">
        <v>12</v>
      </c>
      <c r="S2" s="11"/>
      <c r="T2" s="11"/>
      <c r="U2" s="141"/>
      <c r="V2" s="63"/>
      <c r="W2" s="58"/>
      <c r="X2" s="11"/>
      <c r="Y2" s="11"/>
      <c r="Z2" s="11"/>
      <c r="AA2" s="11"/>
      <c r="AB2" s="13"/>
      <c r="AC2" s="10"/>
    </row>
    <row r="3" spans="1:29" ht="38.25" customHeight="1">
      <c r="A3" s="5">
        <v>52</v>
      </c>
      <c r="B3" s="83">
        <v>127.5</v>
      </c>
      <c r="C3" s="76" t="s">
        <v>13</v>
      </c>
      <c r="D3" s="2" t="s">
        <v>14</v>
      </c>
      <c r="E3" s="97">
        <v>3000</v>
      </c>
      <c r="F3" s="50" t="s">
        <v>15</v>
      </c>
      <c r="G3" s="16">
        <v>156</v>
      </c>
      <c r="H3" s="79" t="e">
        <f>VLOOKUP(L:L,#REF!,2,FALSE)</f>
        <v>#REF!</v>
      </c>
      <c r="I3" s="64" t="s">
        <v>13</v>
      </c>
      <c r="J3" s="72" t="e">
        <f>E3*H3</f>
        <v>#REF!</v>
      </c>
      <c r="K3" s="114" t="s">
        <v>418</v>
      </c>
      <c r="L3" s="14">
        <v>11917</v>
      </c>
      <c r="M3" s="14" t="s">
        <v>16</v>
      </c>
      <c r="N3" s="16">
        <v>29339999</v>
      </c>
      <c r="O3" s="17">
        <v>914020418734695</v>
      </c>
      <c r="P3" s="89">
        <v>132</v>
      </c>
      <c r="Q3" s="76" t="s">
        <v>13</v>
      </c>
      <c r="R3" s="18" t="s">
        <v>17</v>
      </c>
      <c r="S3" s="97">
        <v>3000</v>
      </c>
      <c r="T3" s="50" t="s">
        <v>18</v>
      </c>
      <c r="U3" s="142">
        <v>154</v>
      </c>
      <c r="V3" s="69" t="s">
        <v>13</v>
      </c>
      <c r="W3" s="74">
        <f>S3*U3</f>
        <v>462000</v>
      </c>
      <c r="X3" s="118"/>
      <c r="Y3" s="21">
        <v>12250</v>
      </c>
      <c r="Z3" s="21" t="s">
        <v>19</v>
      </c>
      <c r="AA3" s="22">
        <v>29339999</v>
      </c>
      <c r="AB3" s="23">
        <v>914020418734695</v>
      </c>
      <c r="AC3" s="24" t="e">
        <f>W3/J3</f>
        <v>#REF!</v>
      </c>
    </row>
    <row r="4" spans="1:29" ht="43.5" customHeight="1">
      <c r="A4" s="5">
        <v>89</v>
      </c>
      <c r="B4" s="83">
        <v>269.5</v>
      </c>
      <c r="C4" s="76" t="s">
        <v>13</v>
      </c>
      <c r="D4" s="2" t="s">
        <v>20</v>
      </c>
      <c r="E4" s="97">
        <v>10000</v>
      </c>
      <c r="F4" s="50" t="s">
        <v>21</v>
      </c>
      <c r="G4" s="16">
        <v>247</v>
      </c>
      <c r="H4" s="79" t="e">
        <f>VLOOKUP(L:L,#REF!,2,FALSE)</f>
        <v>#REF!</v>
      </c>
      <c r="I4" s="64" t="s">
        <v>13</v>
      </c>
      <c r="J4" s="72" t="e">
        <f t="shared" ref="J4:J50" si="0">E4*H4</f>
        <v>#REF!</v>
      </c>
      <c r="K4" s="115"/>
      <c r="L4" s="14">
        <v>11476</v>
      </c>
      <c r="M4" s="14" t="s">
        <v>22</v>
      </c>
      <c r="N4" s="16">
        <v>29411020</v>
      </c>
      <c r="O4" s="17">
        <v>914001216168370</v>
      </c>
      <c r="P4" s="89">
        <v>252</v>
      </c>
      <c r="Q4" s="76" t="s">
        <v>13</v>
      </c>
      <c r="R4" s="18" t="s">
        <v>20</v>
      </c>
      <c r="S4" s="97">
        <v>10000</v>
      </c>
      <c r="T4" s="50" t="s">
        <v>23</v>
      </c>
      <c r="U4" s="142">
        <v>235</v>
      </c>
      <c r="V4" s="69" t="s">
        <v>13</v>
      </c>
      <c r="W4" s="74">
        <f t="shared" ref="W4:W67" si="1">S4*U4</f>
        <v>2350000</v>
      </c>
      <c r="X4" s="118"/>
      <c r="Y4" s="21">
        <v>12378</v>
      </c>
      <c r="Z4" s="21" t="s">
        <v>24</v>
      </c>
      <c r="AA4" s="22">
        <v>29411020</v>
      </c>
      <c r="AB4" s="23">
        <v>914020803919076</v>
      </c>
      <c r="AC4" s="24" t="e">
        <f>W4/J4</f>
        <v>#REF!</v>
      </c>
    </row>
    <row r="5" spans="1:29" ht="28.5" customHeight="1">
      <c r="A5" s="5">
        <v>73</v>
      </c>
      <c r="B5" s="83">
        <v>233.4</v>
      </c>
      <c r="C5" s="76" t="s">
        <v>13</v>
      </c>
      <c r="D5" s="2" t="s">
        <v>25</v>
      </c>
      <c r="E5" s="97">
        <v>2500</v>
      </c>
      <c r="F5" s="50" t="s">
        <v>26</v>
      </c>
      <c r="G5" s="16">
        <v>238</v>
      </c>
      <c r="H5" s="79" t="e">
        <f>VLOOKUP(L:L,#REF!,2,FALSE)</f>
        <v>#REF!</v>
      </c>
      <c r="I5" s="64" t="s">
        <v>13</v>
      </c>
      <c r="J5" s="72" t="e">
        <f t="shared" si="0"/>
        <v>#REF!</v>
      </c>
      <c r="K5" s="116" t="e">
        <f>H5&amp;"-"&amp;I5</f>
        <v>#REF!</v>
      </c>
      <c r="L5" s="14">
        <v>12402</v>
      </c>
      <c r="M5" s="14" t="s">
        <v>27</v>
      </c>
      <c r="N5" s="16">
        <v>29335990</v>
      </c>
      <c r="O5" s="17">
        <v>913950714424406</v>
      </c>
      <c r="P5" s="89">
        <v>237</v>
      </c>
      <c r="Q5" s="76" t="s">
        <v>13</v>
      </c>
      <c r="R5" s="18" t="s">
        <v>28</v>
      </c>
      <c r="S5" s="97">
        <v>2500</v>
      </c>
      <c r="T5" s="50" t="s">
        <v>29</v>
      </c>
      <c r="U5" s="142">
        <v>237</v>
      </c>
      <c r="V5" s="69" t="s">
        <v>13</v>
      </c>
      <c r="W5" s="74">
        <f t="shared" si="1"/>
        <v>592500</v>
      </c>
      <c r="X5" s="118"/>
      <c r="Y5" s="21">
        <v>12424</v>
      </c>
      <c r="Z5" s="21" t="s">
        <v>30</v>
      </c>
      <c r="AA5" s="22">
        <v>29335990</v>
      </c>
      <c r="AB5" s="23">
        <v>914020117364618</v>
      </c>
      <c r="AC5" s="24" t="e">
        <f>W5/J5</f>
        <v>#REF!</v>
      </c>
    </row>
    <row r="6" spans="1:29" ht="43.5" customHeight="1">
      <c r="A6" s="5">
        <v>67</v>
      </c>
      <c r="B6" s="83"/>
      <c r="C6" s="76"/>
      <c r="D6" s="25" t="s">
        <v>31</v>
      </c>
      <c r="E6" s="19">
        <v>0</v>
      </c>
      <c r="F6" s="50" t="s">
        <v>32</v>
      </c>
      <c r="G6" s="16">
        <v>550</v>
      </c>
      <c r="H6" s="79">
        <v>540</v>
      </c>
      <c r="I6" s="64" t="s">
        <v>13</v>
      </c>
      <c r="J6" s="72">
        <f t="shared" si="0"/>
        <v>0</v>
      </c>
      <c r="K6" s="4"/>
      <c r="L6" s="14"/>
      <c r="M6" s="14"/>
      <c r="N6" s="16">
        <v>29411090</v>
      </c>
      <c r="O6" s="17">
        <v>913950804721035</v>
      </c>
      <c r="P6" s="89">
        <v>477</v>
      </c>
      <c r="Q6" s="76" t="s">
        <v>13</v>
      </c>
      <c r="R6" s="18" t="s">
        <v>33</v>
      </c>
      <c r="S6" s="97">
        <v>4000</v>
      </c>
      <c r="T6" s="50" t="s">
        <v>32</v>
      </c>
      <c r="U6" s="142">
        <v>474</v>
      </c>
      <c r="V6" s="69" t="s">
        <v>13</v>
      </c>
      <c r="W6" s="74">
        <f t="shared" si="1"/>
        <v>1896000</v>
      </c>
      <c r="X6" s="118"/>
      <c r="Y6" s="21">
        <v>12252</v>
      </c>
      <c r="Z6" s="21" t="s">
        <v>34</v>
      </c>
      <c r="AA6" s="22">
        <v>29411090</v>
      </c>
      <c r="AB6" s="23">
        <v>913950804721035</v>
      </c>
      <c r="AC6" s="24" t="e">
        <f>W6/J6</f>
        <v>#DIV/0!</v>
      </c>
    </row>
    <row r="7" spans="1:29" ht="35.25" customHeight="1">
      <c r="A7" s="5">
        <v>65</v>
      </c>
      <c r="B7" s="83">
        <v>180</v>
      </c>
      <c r="C7" s="76" t="s">
        <v>13</v>
      </c>
      <c r="D7" s="2" t="s">
        <v>35</v>
      </c>
      <c r="E7" s="97">
        <v>4000</v>
      </c>
      <c r="F7" s="50" t="s">
        <v>36</v>
      </c>
      <c r="G7" s="80">
        <v>175</v>
      </c>
      <c r="H7" s="79" t="e">
        <f>VLOOKUP(L:L,#REF!,2,FALSE)</f>
        <v>#REF!</v>
      </c>
      <c r="I7" s="64" t="s">
        <v>13</v>
      </c>
      <c r="J7" s="72" t="e">
        <f t="shared" si="0"/>
        <v>#REF!</v>
      </c>
      <c r="K7" s="115"/>
      <c r="L7" s="14">
        <v>12216</v>
      </c>
      <c r="M7" s="14" t="s">
        <v>37</v>
      </c>
      <c r="N7" s="16">
        <v>29413000</v>
      </c>
      <c r="O7" s="26">
        <v>913950713920135</v>
      </c>
      <c r="P7" s="89">
        <v>184</v>
      </c>
      <c r="Q7" s="76" t="s">
        <v>13</v>
      </c>
      <c r="R7" s="18" t="s">
        <v>38</v>
      </c>
      <c r="S7" s="97">
        <v>2000</v>
      </c>
      <c r="T7" s="50" t="s">
        <v>36</v>
      </c>
      <c r="U7" s="142">
        <v>186</v>
      </c>
      <c r="V7" s="69" t="s">
        <v>13</v>
      </c>
      <c r="W7" s="74">
        <f t="shared" si="1"/>
        <v>372000</v>
      </c>
      <c r="X7" s="118"/>
      <c r="Y7" s="21">
        <v>12253</v>
      </c>
      <c r="Z7" s="21" t="s">
        <v>39</v>
      </c>
      <c r="AA7" s="22">
        <v>29413000</v>
      </c>
      <c r="AB7" s="27">
        <v>913950713920135</v>
      </c>
      <c r="AC7" s="24" t="e">
        <f>W7/J7</f>
        <v>#REF!</v>
      </c>
    </row>
    <row r="8" spans="1:29" ht="55.5" customHeight="1">
      <c r="A8" s="5">
        <v>42</v>
      </c>
      <c r="B8" s="83">
        <v>71.8</v>
      </c>
      <c r="C8" s="76" t="s">
        <v>13</v>
      </c>
      <c r="D8" s="2" t="s">
        <v>40</v>
      </c>
      <c r="E8" s="97">
        <v>5000</v>
      </c>
      <c r="F8" s="50" t="s">
        <v>41</v>
      </c>
      <c r="G8" s="95" t="s">
        <v>42</v>
      </c>
      <c r="H8" s="79" t="e">
        <f>VLOOKUP(L:L,#REF!,2,FALSE)</f>
        <v>#REF!</v>
      </c>
      <c r="I8" s="65"/>
      <c r="J8" s="72"/>
      <c r="K8" s="4"/>
      <c r="L8" s="14">
        <v>12217</v>
      </c>
      <c r="M8" s="14" t="s">
        <v>43</v>
      </c>
      <c r="N8" s="16">
        <v>29372290</v>
      </c>
      <c r="O8" s="17">
        <v>913961017061219</v>
      </c>
      <c r="P8" s="89">
        <v>71</v>
      </c>
      <c r="Q8" s="76" t="s">
        <v>13</v>
      </c>
      <c r="R8" s="18" t="s">
        <v>44</v>
      </c>
      <c r="S8" s="97">
        <v>5000</v>
      </c>
      <c r="T8" s="50" t="s">
        <v>41</v>
      </c>
      <c r="U8" s="143" t="s">
        <v>45</v>
      </c>
      <c r="V8" s="70"/>
      <c r="W8" s="74"/>
      <c r="X8" s="75" t="s">
        <v>46</v>
      </c>
      <c r="Y8" s="21">
        <v>12254</v>
      </c>
      <c r="Z8" s="21" t="s">
        <v>47</v>
      </c>
      <c r="AA8" s="22">
        <v>29372290</v>
      </c>
      <c r="AB8" s="23">
        <v>913961017061219</v>
      </c>
      <c r="AC8" s="28"/>
    </row>
    <row r="9" spans="1:29" ht="28.5" customHeight="1">
      <c r="A9" s="5">
        <v>86</v>
      </c>
      <c r="B9" s="83">
        <v>608</v>
      </c>
      <c r="C9" s="76" t="s">
        <v>13</v>
      </c>
      <c r="D9" s="2" t="s">
        <v>48</v>
      </c>
      <c r="E9" s="97">
        <v>4000</v>
      </c>
      <c r="F9" s="50" t="s">
        <v>49</v>
      </c>
      <c r="G9" s="80">
        <v>608</v>
      </c>
      <c r="H9" s="79" t="e">
        <f>VLOOKUP(L:L,#REF!,2,FALSE)</f>
        <v>#REF!</v>
      </c>
      <c r="I9" s="64" t="s">
        <v>13</v>
      </c>
      <c r="J9" s="72" t="e">
        <f t="shared" si="0"/>
        <v>#REF!</v>
      </c>
      <c r="K9" s="115"/>
      <c r="L9" s="14">
        <v>12473</v>
      </c>
      <c r="M9" s="14" t="s">
        <v>50</v>
      </c>
      <c r="N9" s="16">
        <v>29269090</v>
      </c>
      <c r="O9" s="17">
        <v>913980329016283</v>
      </c>
      <c r="P9" s="89">
        <v>643</v>
      </c>
      <c r="Q9" s="76" t="s">
        <v>13</v>
      </c>
      <c r="R9" s="2" t="s">
        <v>48</v>
      </c>
      <c r="S9" s="97">
        <v>2000</v>
      </c>
      <c r="T9" s="50" t="s">
        <v>51</v>
      </c>
      <c r="U9" s="142">
        <v>630</v>
      </c>
      <c r="V9" s="69" t="s">
        <v>52</v>
      </c>
      <c r="W9" s="74">
        <f t="shared" si="1"/>
        <v>1260000</v>
      </c>
      <c r="X9" s="119" t="s">
        <v>53</v>
      </c>
      <c r="Y9" s="21">
        <v>12440</v>
      </c>
      <c r="Z9" s="21" t="s">
        <v>54</v>
      </c>
      <c r="AA9" s="22">
        <v>29269090</v>
      </c>
      <c r="AB9" s="23">
        <v>913980329016283</v>
      </c>
      <c r="AC9" s="24" t="e">
        <f>W9/J9/2</f>
        <v>#REF!</v>
      </c>
    </row>
    <row r="10" spans="1:29" ht="28.5" customHeight="1">
      <c r="A10" s="5">
        <v>48</v>
      </c>
      <c r="B10" s="83">
        <v>109.6</v>
      </c>
      <c r="C10" s="76" t="s">
        <v>13</v>
      </c>
      <c r="D10" s="2" t="s">
        <v>55</v>
      </c>
      <c r="E10" s="97">
        <v>6000</v>
      </c>
      <c r="F10" s="50" t="s">
        <v>56</v>
      </c>
      <c r="G10" s="16">
        <v>112.5</v>
      </c>
      <c r="H10" s="79" t="e">
        <f>VLOOKUP(L:L,#REF!,2,FALSE)</f>
        <v>#REF!</v>
      </c>
      <c r="I10" s="64" t="s">
        <v>13</v>
      </c>
      <c r="J10" s="72" t="e">
        <f t="shared" si="0"/>
        <v>#REF!</v>
      </c>
      <c r="K10" s="115"/>
      <c r="L10" s="14">
        <v>12218</v>
      </c>
      <c r="M10" s="14" t="s">
        <v>57</v>
      </c>
      <c r="N10" s="16">
        <v>29419090</v>
      </c>
      <c r="O10" s="26">
        <v>913951013581404</v>
      </c>
      <c r="P10" s="89">
        <v>111</v>
      </c>
      <c r="Q10" s="76" t="s">
        <v>13</v>
      </c>
      <c r="R10" s="18" t="s">
        <v>58</v>
      </c>
      <c r="S10" s="97">
        <v>6000</v>
      </c>
      <c r="T10" s="50" t="s">
        <v>56</v>
      </c>
      <c r="U10" s="142">
        <v>111</v>
      </c>
      <c r="V10" s="69" t="s">
        <v>13</v>
      </c>
      <c r="W10" s="74">
        <f t="shared" si="1"/>
        <v>666000</v>
      </c>
      <c r="X10" s="118"/>
      <c r="Y10" s="21">
        <v>12607</v>
      </c>
      <c r="Z10" s="21" t="s">
        <v>59</v>
      </c>
      <c r="AA10" s="22">
        <v>29419090</v>
      </c>
      <c r="AB10" s="27">
        <v>913951013581404</v>
      </c>
      <c r="AC10" s="24" t="e">
        <f>W10/J10</f>
        <v>#REF!</v>
      </c>
    </row>
    <row r="11" spans="1:29" ht="28.5" customHeight="1">
      <c r="A11" s="5">
        <v>69</v>
      </c>
      <c r="B11" s="83">
        <v>89</v>
      </c>
      <c r="C11" s="76" t="s">
        <v>13</v>
      </c>
      <c r="D11" s="2" t="s">
        <v>60</v>
      </c>
      <c r="E11" s="97">
        <v>10000</v>
      </c>
      <c r="F11" s="50" t="s">
        <v>61</v>
      </c>
      <c r="G11" s="16">
        <v>89</v>
      </c>
      <c r="H11" s="79" t="e">
        <f>VLOOKUP(L:L,#REF!,2,FALSE)</f>
        <v>#REF!</v>
      </c>
      <c r="I11" s="64" t="s">
        <v>13</v>
      </c>
      <c r="J11" s="72" t="e">
        <f t="shared" si="0"/>
        <v>#REF!</v>
      </c>
      <c r="K11" s="115"/>
      <c r="L11" s="14">
        <v>12219</v>
      </c>
      <c r="M11" s="14" t="s">
        <v>62</v>
      </c>
      <c r="N11" s="16">
        <v>29419090</v>
      </c>
      <c r="O11" s="17">
        <v>913980308865811</v>
      </c>
      <c r="P11" s="89">
        <v>89</v>
      </c>
      <c r="Q11" s="76" t="s">
        <v>13</v>
      </c>
      <c r="R11" s="18" t="s">
        <v>60</v>
      </c>
      <c r="S11" s="97">
        <v>10000</v>
      </c>
      <c r="T11" s="50" t="s">
        <v>63</v>
      </c>
      <c r="U11" s="142">
        <v>89</v>
      </c>
      <c r="V11" s="69" t="s">
        <v>13</v>
      </c>
      <c r="W11" s="74">
        <f t="shared" si="1"/>
        <v>890000</v>
      </c>
      <c r="X11" s="118"/>
      <c r="Y11" s="21">
        <v>12485</v>
      </c>
      <c r="Z11" s="21" t="s">
        <v>64</v>
      </c>
      <c r="AA11" s="22">
        <v>29419090</v>
      </c>
      <c r="AB11" s="23">
        <v>914001223207743</v>
      </c>
      <c r="AC11" s="24" t="e">
        <f>W11/J11</f>
        <v>#REF!</v>
      </c>
    </row>
    <row r="12" spans="1:29" ht="28.5" customHeight="1">
      <c r="A12" s="5">
        <v>51</v>
      </c>
      <c r="B12" s="83">
        <v>60</v>
      </c>
      <c r="C12" s="76" t="s">
        <v>13</v>
      </c>
      <c r="D12" s="18" t="s">
        <v>65</v>
      </c>
      <c r="E12" s="97">
        <v>5000</v>
      </c>
      <c r="F12" s="50" t="s">
        <v>66</v>
      </c>
      <c r="G12" s="16">
        <v>60</v>
      </c>
      <c r="H12" s="79" t="e">
        <f>VLOOKUP(L:L,#REF!,2,FALSE)</f>
        <v>#REF!</v>
      </c>
      <c r="I12" s="64" t="s">
        <v>13</v>
      </c>
      <c r="J12" s="72" t="e">
        <f t="shared" si="0"/>
        <v>#REF!</v>
      </c>
      <c r="K12" s="115"/>
      <c r="L12" s="14">
        <v>12322</v>
      </c>
      <c r="M12" s="14" t="s">
        <v>67</v>
      </c>
      <c r="N12" s="16">
        <v>29419090</v>
      </c>
      <c r="O12" s="17">
        <v>913980426291521</v>
      </c>
      <c r="P12" s="89">
        <v>60.7</v>
      </c>
      <c r="Q12" s="76" t="s">
        <v>13</v>
      </c>
      <c r="R12" s="18" t="s">
        <v>65</v>
      </c>
      <c r="S12" s="97">
        <v>5000</v>
      </c>
      <c r="T12" s="50" t="s">
        <v>66</v>
      </c>
      <c r="U12" s="142">
        <v>60</v>
      </c>
      <c r="V12" s="69" t="s">
        <v>13</v>
      </c>
      <c r="W12" s="74">
        <f t="shared" si="1"/>
        <v>300000</v>
      </c>
      <c r="X12" s="118"/>
      <c r="Y12" s="21">
        <v>12258</v>
      </c>
      <c r="Z12" s="21" t="s">
        <v>68</v>
      </c>
      <c r="AA12" s="22">
        <v>29419090</v>
      </c>
      <c r="AB12" s="23">
        <v>913980426291521</v>
      </c>
      <c r="AC12" s="24" t="e">
        <f>W12/J12</f>
        <v>#REF!</v>
      </c>
    </row>
    <row r="13" spans="1:29" ht="62.45" customHeight="1">
      <c r="A13" s="5">
        <v>88</v>
      </c>
      <c r="B13" s="83">
        <v>335</v>
      </c>
      <c r="C13" s="76" t="s">
        <v>13</v>
      </c>
      <c r="D13" s="2" t="s">
        <v>69</v>
      </c>
      <c r="E13" s="97">
        <v>10000</v>
      </c>
      <c r="F13" s="50" t="s">
        <v>70</v>
      </c>
      <c r="G13" s="16">
        <v>380</v>
      </c>
      <c r="H13" s="79" t="e">
        <f>VLOOKUP(L:L,#REF!,2,FALSE)</f>
        <v>#REF!</v>
      </c>
      <c r="I13" s="64" t="s">
        <v>13</v>
      </c>
      <c r="J13" s="72" t="e">
        <f t="shared" si="0"/>
        <v>#REF!</v>
      </c>
      <c r="K13" s="114" t="s">
        <v>419</v>
      </c>
      <c r="L13" s="14">
        <v>12474</v>
      </c>
      <c r="M13" s="14" t="s">
        <v>71</v>
      </c>
      <c r="N13" s="16">
        <v>29413000</v>
      </c>
      <c r="O13" s="26">
        <v>913950628097997</v>
      </c>
      <c r="P13" s="89">
        <v>335</v>
      </c>
      <c r="Q13" s="76" t="s">
        <v>13</v>
      </c>
      <c r="R13" s="2" t="s">
        <v>69</v>
      </c>
      <c r="S13" s="19">
        <v>0</v>
      </c>
      <c r="T13" s="50" t="s">
        <v>72</v>
      </c>
      <c r="U13" s="143" t="s">
        <v>73</v>
      </c>
      <c r="V13" s="70"/>
      <c r="W13" s="74"/>
      <c r="X13" s="75" t="s">
        <v>74</v>
      </c>
      <c r="Y13" s="21">
        <v>12259</v>
      </c>
      <c r="Z13" s="21" t="s">
        <v>75</v>
      </c>
      <c r="AA13" s="22">
        <v>29413000</v>
      </c>
      <c r="AB13" s="23">
        <v>914020218896938</v>
      </c>
      <c r="AC13" s="24"/>
    </row>
    <row r="14" spans="1:29" ht="83.45" customHeight="1">
      <c r="A14" s="5">
        <v>84</v>
      </c>
      <c r="B14" s="83">
        <v>174.5</v>
      </c>
      <c r="C14" s="76" t="s">
        <v>13</v>
      </c>
      <c r="D14" s="2" t="s">
        <v>76</v>
      </c>
      <c r="E14" s="97">
        <v>12000</v>
      </c>
      <c r="F14" s="50" t="s">
        <v>77</v>
      </c>
      <c r="G14" s="80">
        <v>167</v>
      </c>
      <c r="H14" s="79" t="e">
        <f>VLOOKUP(L:L,#REF!,2,FALSE)</f>
        <v>#REF!</v>
      </c>
      <c r="I14" s="64" t="s">
        <v>13</v>
      </c>
      <c r="J14" s="72" t="e">
        <f t="shared" si="0"/>
        <v>#REF!</v>
      </c>
      <c r="K14" s="114" t="s">
        <v>437</v>
      </c>
      <c r="L14" s="14">
        <v>12222</v>
      </c>
      <c r="M14" s="14" t="s">
        <v>78</v>
      </c>
      <c r="N14" s="16">
        <v>29419020</v>
      </c>
      <c r="O14" s="17">
        <v>913961017260351</v>
      </c>
      <c r="P14" s="89">
        <v>175</v>
      </c>
      <c r="Q14" s="76" t="s">
        <v>13</v>
      </c>
      <c r="R14" s="2" t="s">
        <v>76</v>
      </c>
      <c r="S14" s="97">
        <v>8000</v>
      </c>
      <c r="T14" s="50" t="s">
        <v>77</v>
      </c>
      <c r="U14" s="142">
        <v>169</v>
      </c>
      <c r="V14" s="69" t="s">
        <v>13</v>
      </c>
      <c r="W14" s="74">
        <f t="shared" si="1"/>
        <v>1352000</v>
      </c>
      <c r="X14" s="118"/>
      <c r="Y14" s="21">
        <v>12260</v>
      </c>
      <c r="Z14" s="21" t="s">
        <v>79</v>
      </c>
      <c r="AA14" s="22">
        <v>29419020</v>
      </c>
      <c r="AB14" s="23">
        <v>913961017260351</v>
      </c>
      <c r="AC14" s="24" t="e">
        <f t="shared" ref="AC14:AC22" si="2">W14/J14</f>
        <v>#REF!</v>
      </c>
    </row>
    <row r="15" spans="1:29" ht="37.5" customHeight="1">
      <c r="A15" s="5">
        <v>47</v>
      </c>
      <c r="B15" s="83">
        <v>182</v>
      </c>
      <c r="C15" s="76" t="s">
        <v>13</v>
      </c>
      <c r="D15" s="2" t="s">
        <v>80</v>
      </c>
      <c r="E15" s="97">
        <v>3000</v>
      </c>
      <c r="F15" s="50" t="s">
        <v>81</v>
      </c>
      <c r="G15" s="80">
        <v>160</v>
      </c>
      <c r="H15" s="79" t="e">
        <f>VLOOKUP(L:L,#REF!,2,FALSE)</f>
        <v>#REF!</v>
      </c>
      <c r="I15" s="64" t="s">
        <v>13</v>
      </c>
      <c r="J15" s="72" t="e">
        <f t="shared" si="0"/>
        <v>#REF!</v>
      </c>
      <c r="K15" s="115"/>
      <c r="L15" s="14">
        <v>11961</v>
      </c>
      <c r="M15" s="14" t="s">
        <v>82</v>
      </c>
      <c r="N15" s="16">
        <v>29419090</v>
      </c>
      <c r="O15" s="17">
        <v>913950811577000</v>
      </c>
      <c r="P15" s="89">
        <v>185</v>
      </c>
      <c r="Q15" s="76" t="s">
        <v>13</v>
      </c>
      <c r="R15" s="18" t="s">
        <v>80</v>
      </c>
      <c r="S15" s="97">
        <v>1500</v>
      </c>
      <c r="T15" s="50" t="s">
        <v>83</v>
      </c>
      <c r="U15" s="142">
        <v>180</v>
      </c>
      <c r="V15" s="69" t="s">
        <v>13</v>
      </c>
      <c r="W15" s="74">
        <f t="shared" si="1"/>
        <v>270000</v>
      </c>
      <c r="X15" s="118"/>
      <c r="Y15" s="21">
        <v>12009</v>
      </c>
      <c r="Z15" s="21" t="s">
        <v>84</v>
      </c>
      <c r="AA15" s="22">
        <v>29419090</v>
      </c>
      <c r="AB15" s="23">
        <v>913950811577000</v>
      </c>
      <c r="AC15" s="24" t="e">
        <f t="shared" si="2"/>
        <v>#REF!</v>
      </c>
    </row>
    <row r="16" spans="1:29" ht="28.5" customHeight="1">
      <c r="A16" s="5">
        <v>80</v>
      </c>
      <c r="B16" s="83">
        <v>449</v>
      </c>
      <c r="C16" s="76" t="s">
        <v>13</v>
      </c>
      <c r="D16" s="2" t="s">
        <v>85</v>
      </c>
      <c r="E16" s="97">
        <v>2500</v>
      </c>
      <c r="F16" s="50" t="s">
        <v>86</v>
      </c>
      <c r="G16" s="16">
        <v>495</v>
      </c>
      <c r="H16" s="79" t="e">
        <f>VLOOKUP(L:L,#REF!,2,FALSE)</f>
        <v>#REF!</v>
      </c>
      <c r="I16" s="64" t="s">
        <v>13</v>
      </c>
      <c r="J16" s="72" t="e">
        <f t="shared" si="0"/>
        <v>#REF!</v>
      </c>
      <c r="K16" s="114" t="s">
        <v>420</v>
      </c>
      <c r="L16" s="14">
        <v>12223</v>
      </c>
      <c r="M16" s="14" t="s">
        <v>87</v>
      </c>
      <c r="N16" s="16">
        <v>29415090</v>
      </c>
      <c r="O16" s="26">
        <v>913961025484104</v>
      </c>
      <c r="P16" s="89">
        <v>480</v>
      </c>
      <c r="Q16" s="76" t="s">
        <v>13</v>
      </c>
      <c r="R16" s="18" t="s">
        <v>85</v>
      </c>
      <c r="S16" s="97">
        <v>3500</v>
      </c>
      <c r="T16" s="50" t="s">
        <v>86</v>
      </c>
      <c r="U16" s="142">
        <v>495</v>
      </c>
      <c r="V16" s="69" t="s">
        <v>13</v>
      </c>
      <c r="W16" s="74">
        <f t="shared" si="1"/>
        <v>1732500</v>
      </c>
      <c r="X16" s="118"/>
      <c r="Y16" s="21">
        <v>12608</v>
      </c>
      <c r="Z16" s="21" t="s">
        <v>88</v>
      </c>
      <c r="AA16" s="22">
        <v>29415090</v>
      </c>
      <c r="AB16" s="27">
        <v>913961025484104</v>
      </c>
      <c r="AC16" s="24" t="e">
        <f t="shared" si="2"/>
        <v>#REF!</v>
      </c>
    </row>
    <row r="17" spans="1:29" ht="28.5" customHeight="1">
      <c r="A17" s="5">
        <v>30</v>
      </c>
      <c r="B17" s="83">
        <v>102.90900000000001</v>
      </c>
      <c r="C17" s="77" t="s">
        <v>89</v>
      </c>
      <c r="D17" s="18" t="s">
        <v>90</v>
      </c>
      <c r="E17" s="97">
        <v>600</v>
      </c>
      <c r="F17" s="50" t="s">
        <v>91</v>
      </c>
      <c r="G17" s="16">
        <v>820</v>
      </c>
      <c r="H17" s="79" t="e">
        <f>VLOOKUP(L:L,#REF!,2,FALSE)</f>
        <v>#REF!</v>
      </c>
      <c r="I17" s="64" t="s">
        <v>13</v>
      </c>
      <c r="J17" s="72" t="e">
        <f t="shared" si="0"/>
        <v>#REF!</v>
      </c>
      <c r="K17" s="115"/>
      <c r="L17" s="14">
        <v>11424</v>
      </c>
      <c r="M17" s="14" t="s">
        <v>92</v>
      </c>
      <c r="N17" s="16">
        <v>29419090</v>
      </c>
      <c r="O17" s="17">
        <v>913980320494749</v>
      </c>
      <c r="P17" s="89">
        <v>820</v>
      </c>
      <c r="Q17" s="76" t="s">
        <v>93</v>
      </c>
      <c r="R17" s="18" t="s">
        <v>94</v>
      </c>
      <c r="S17" s="19">
        <v>0</v>
      </c>
      <c r="T17" s="50" t="s">
        <v>95</v>
      </c>
      <c r="U17" s="142">
        <v>820</v>
      </c>
      <c r="V17" s="69" t="s">
        <v>13</v>
      </c>
      <c r="W17" s="74">
        <f t="shared" si="1"/>
        <v>0</v>
      </c>
      <c r="X17" s="20"/>
      <c r="Y17" s="21">
        <v>12439</v>
      </c>
      <c r="Z17" s="21" t="s">
        <v>96</v>
      </c>
      <c r="AA17" s="22">
        <v>29419090</v>
      </c>
      <c r="AB17" s="23">
        <v>913980320494749</v>
      </c>
      <c r="AC17" s="24" t="e">
        <f t="shared" si="2"/>
        <v>#REF!</v>
      </c>
    </row>
    <row r="18" spans="1:29" ht="28.5" customHeight="1">
      <c r="A18" s="5">
        <v>33</v>
      </c>
      <c r="B18" s="83">
        <v>31.979099999999999</v>
      </c>
      <c r="C18" s="77" t="s">
        <v>89</v>
      </c>
      <c r="D18" s="2" t="s">
        <v>97</v>
      </c>
      <c r="E18" s="97">
        <v>1500</v>
      </c>
      <c r="F18" s="50" t="s">
        <v>98</v>
      </c>
      <c r="G18" s="80">
        <v>215</v>
      </c>
      <c r="H18" s="79" t="e">
        <f>VLOOKUP(L:L,#REF!,2,FALSE)</f>
        <v>#REF!</v>
      </c>
      <c r="I18" s="64" t="s">
        <v>13</v>
      </c>
      <c r="J18" s="72" t="e">
        <f t="shared" si="0"/>
        <v>#REF!</v>
      </c>
      <c r="K18" s="115"/>
      <c r="L18" s="14">
        <v>11426</v>
      </c>
      <c r="M18" s="14" t="s">
        <v>99</v>
      </c>
      <c r="N18" s="16">
        <v>29339999</v>
      </c>
      <c r="O18" s="17">
        <v>913960216126884</v>
      </c>
      <c r="P18" s="89">
        <v>270</v>
      </c>
      <c r="Q18" s="76" t="s">
        <v>13</v>
      </c>
      <c r="R18" s="18" t="s">
        <v>100</v>
      </c>
      <c r="S18" s="97">
        <v>1000</v>
      </c>
      <c r="T18" s="50" t="s">
        <v>101</v>
      </c>
      <c r="U18" s="142">
        <v>220</v>
      </c>
      <c r="V18" s="69" t="s">
        <v>13</v>
      </c>
      <c r="W18" s="74">
        <f t="shared" si="1"/>
        <v>220000</v>
      </c>
      <c r="X18" s="118"/>
      <c r="Y18" s="21">
        <v>11403</v>
      </c>
      <c r="Z18" s="21" t="s">
        <v>102</v>
      </c>
      <c r="AA18" s="22">
        <v>29339999</v>
      </c>
      <c r="AB18" s="23">
        <v>914001004128763</v>
      </c>
      <c r="AC18" s="24" t="e">
        <f t="shared" si="2"/>
        <v>#REF!</v>
      </c>
    </row>
    <row r="19" spans="1:29" ht="28.5" customHeight="1">
      <c r="A19" s="5">
        <v>49</v>
      </c>
      <c r="B19" s="83">
        <v>470</v>
      </c>
      <c r="C19" s="76" t="s">
        <v>13</v>
      </c>
      <c r="D19" s="2" t="s">
        <v>103</v>
      </c>
      <c r="E19" s="97">
        <v>1000</v>
      </c>
      <c r="F19" s="50" t="s">
        <v>104</v>
      </c>
      <c r="G19" s="16">
        <v>465</v>
      </c>
      <c r="H19" s="79" t="e">
        <f>VLOOKUP(L:L,#REF!,2,FALSE)</f>
        <v>#REF!</v>
      </c>
      <c r="I19" s="64" t="s">
        <v>13</v>
      </c>
      <c r="J19" s="72" t="e">
        <f t="shared" si="0"/>
        <v>#REF!</v>
      </c>
      <c r="K19" s="115"/>
      <c r="L19" s="14">
        <v>12178</v>
      </c>
      <c r="M19" s="14" t="s">
        <v>105</v>
      </c>
      <c r="N19" s="16">
        <v>29333990</v>
      </c>
      <c r="O19" s="17">
        <v>913961112048932</v>
      </c>
      <c r="P19" s="89">
        <v>427</v>
      </c>
      <c r="Q19" s="76" t="s">
        <v>13</v>
      </c>
      <c r="R19" s="18" t="s">
        <v>106</v>
      </c>
      <c r="S19" s="97">
        <v>1000</v>
      </c>
      <c r="T19" s="50" t="s">
        <v>107</v>
      </c>
      <c r="U19" s="142">
        <v>448</v>
      </c>
      <c r="V19" s="69" t="s">
        <v>52</v>
      </c>
      <c r="W19" s="74">
        <f t="shared" si="1"/>
        <v>448000</v>
      </c>
      <c r="X19" s="119" t="s">
        <v>53</v>
      </c>
      <c r="Y19" s="21">
        <v>12428</v>
      </c>
      <c r="Z19" s="21" t="s">
        <v>108</v>
      </c>
      <c r="AA19" s="22">
        <v>29333990</v>
      </c>
      <c r="AB19" s="23">
        <v>913961112048932</v>
      </c>
      <c r="AC19" s="24" t="e">
        <f t="shared" si="2"/>
        <v>#REF!</v>
      </c>
    </row>
    <row r="20" spans="1:29" ht="28.5" customHeight="1">
      <c r="A20" s="5">
        <v>90</v>
      </c>
      <c r="B20" s="83">
        <v>594</v>
      </c>
      <c r="C20" s="76" t="s">
        <v>13</v>
      </c>
      <c r="D20" s="2" t="s">
        <v>109</v>
      </c>
      <c r="E20" s="97" t="s">
        <v>428</v>
      </c>
      <c r="F20" s="50" t="s">
        <v>110</v>
      </c>
      <c r="G20" s="80">
        <v>594</v>
      </c>
      <c r="H20" s="79" t="e">
        <f>VLOOKUP(L:L,#REF!,2,FALSE)</f>
        <v>#REF!</v>
      </c>
      <c r="I20" s="64" t="s">
        <v>13</v>
      </c>
      <c r="J20" s="72">
        <v>5900000</v>
      </c>
      <c r="K20" s="115"/>
      <c r="L20" s="14">
        <v>12605</v>
      </c>
      <c r="M20" s="14" t="s">
        <v>111</v>
      </c>
      <c r="N20" s="16">
        <v>29419090</v>
      </c>
      <c r="O20" s="17">
        <v>913950527039144</v>
      </c>
      <c r="P20" s="89">
        <v>598</v>
      </c>
      <c r="Q20" s="76" t="s">
        <v>13</v>
      </c>
      <c r="R20" s="2" t="s">
        <v>109</v>
      </c>
      <c r="S20" s="97" t="s">
        <v>428</v>
      </c>
      <c r="T20" s="50" t="s">
        <v>112</v>
      </c>
      <c r="U20" s="142">
        <v>598</v>
      </c>
      <c r="V20" s="69" t="s">
        <v>13</v>
      </c>
      <c r="W20" s="74">
        <v>5980000</v>
      </c>
      <c r="X20" s="118"/>
      <c r="Y20" s="21">
        <v>12583</v>
      </c>
      <c r="Z20" s="21" t="s">
        <v>113</v>
      </c>
      <c r="AA20" s="22">
        <v>29419090</v>
      </c>
      <c r="AB20" s="23">
        <v>913950527039144</v>
      </c>
      <c r="AC20" s="24">
        <f t="shared" si="2"/>
        <v>1.0135593220338983</v>
      </c>
    </row>
    <row r="21" spans="1:29" ht="28.5" customHeight="1">
      <c r="A21" s="5">
        <v>35</v>
      </c>
      <c r="B21" s="83">
        <v>15</v>
      </c>
      <c r="C21" s="76" t="s">
        <v>13</v>
      </c>
      <c r="D21" s="2" t="s">
        <v>114</v>
      </c>
      <c r="E21" s="97">
        <v>15180</v>
      </c>
      <c r="F21" s="50" t="s">
        <v>115</v>
      </c>
      <c r="G21" s="16">
        <v>13</v>
      </c>
      <c r="H21" s="79" t="e">
        <f>VLOOKUP(L:L,#REF!,2,FALSE)</f>
        <v>#REF!</v>
      </c>
      <c r="I21" s="64" t="s">
        <v>13</v>
      </c>
      <c r="J21" s="72" t="e">
        <f t="shared" si="0"/>
        <v>#REF!</v>
      </c>
      <c r="K21" s="115"/>
      <c r="L21" s="14">
        <v>12379</v>
      </c>
      <c r="M21" s="14" t="s">
        <v>116</v>
      </c>
      <c r="N21" s="16">
        <v>38089429</v>
      </c>
      <c r="O21" s="17">
        <v>913951002592791</v>
      </c>
      <c r="P21" s="89">
        <v>15</v>
      </c>
      <c r="Q21" s="76" t="s">
        <v>13</v>
      </c>
      <c r="R21" s="18" t="s">
        <v>114</v>
      </c>
      <c r="S21" s="97">
        <v>15180</v>
      </c>
      <c r="T21" s="50" t="s">
        <v>115</v>
      </c>
      <c r="U21" s="142">
        <v>1.7</v>
      </c>
      <c r="V21" s="69" t="s">
        <v>89</v>
      </c>
      <c r="W21" s="74">
        <f t="shared" si="1"/>
        <v>25806</v>
      </c>
      <c r="X21" s="118"/>
      <c r="Y21" s="21">
        <v>12379</v>
      </c>
      <c r="Z21" s="21" t="s">
        <v>116</v>
      </c>
      <c r="AA21" s="22">
        <v>38089429</v>
      </c>
      <c r="AB21" s="23">
        <v>913951002592791</v>
      </c>
      <c r="AC21" s="24" t="e">
        <f t="shared" si="2"/>
        <v>#REF!</v>
      </c>
    </row>
    <row r="22" spans="1:29" ht="28.5" customHeight="1">
      <c r="A22" s="5">
        <v>55</v>
      </c>
      <c r="B22" s="83">
        <v>86.7</v>
      </c>
      <c r="C22" s="76" t="s">
        <v>13</v>
      </c>
      <c r="D22" s="2" t="s">
        <v>117</v>
      </c>
      <c r="E22" s="97">
        <v>6000</v>
      </c>
      <c r="F22" s="50" t="s">
        <v>118</v>
      </c>
      <c r="G22" s="80">
        <v>85</v>
      </c>
      <c r="H22" s="79" t="e">
        <f>VLOOKUP(L:L,#REF!,2,FALSE)</f>
        <v>#REF!</v>
      </c>
      <c r="I22" s="64" t="s">
        <v>13</v>
      </c>
      <c r="J22" s="72" t="e">
        <f t="shared" si="0"/>
        <v>#REF!</v>
      </c>
      <c r="K22" s="115"/>
      <c r="L22" s="14">
        <v>12476</v>
      </c>
      <c r="M22" s="14" t="s">
        <v>119</v>
      </c>
      <c r="N22" s="16">
        <v>29215990</v>
      </c>
      <c r="O22" s="17">
        <v>913961003786456</v>
      </c>
      <c r="P22" s="89">
        <v>88</v>
      </c>
      <c r="Q22" s="76" t="s">
        <v>13</v>
      </c>
      <c r="R22" s="18" t="s">
        <v>120</v>
      </c>
      <c r="S22" s="97">
        <v>4000</v>
      </c>
      <c r="T22" s="50" t="s">
        <v>121</v>
      </c>
      <c r="U22" s="142">
        <v>88</v>
      </c>
      <c r="V22" s="69" t="s">
        <v>13</v>
      </c>
      <c r="W22" s="74">
        <f t="shared" si="1"/>
        <v>352000</v>
      </c>
      <c r="X22" s="118"/>
      <c r="Y22" s="21">
        <v>12488</v>
      </c>
      <c r="Z22" s="21" t="s">
        <v>122</v>
      </c>
      <c r="AA22" s="22">
        <v>29215990</v>
      </c>
      <c r="AB22" s="23">
        <v>913961003786456</v>
      </c>
      <c r="AC22" s="24" t="e">
        <f t="shared" si="2"/>
        <v>#REF!</v>
      </c>
    </row>
    <row r="23" spans="1:29" ht="28.5" customHeight="1">
      <c r="A23" s="5">
        <v>18</v>
      </c>
      <c r="B23" s="83">
        <v>47.5</v>
      </c>
      <c r="C23" s="76" t="s">
        <v>13</v>
      </c>
      <c r="D23" s="2" t="s">
        <v>123</v>
      </c>
      <c r="E23" s="97">
        <v>5000</v>
      </c>
      <c r="F23" s="50" t="s">
        <v>124</v>
      </c>
      <c r="G23" s="80">
        <v>38</v>
      </c>
      <c r="H23" s="79" t="e">
        <f>VLOOKUP(L:L,#REF!,2,FALSE)</f>
        <v>#REF!</v>
      </c>
      <c r="I23" s="64" t="s">
        <v>13</v>
      </c>
      <c r="J23" s="72" t="e">
        <f t="shared" si="0"/>
        <v>#REF!</v>
      </c>
      <c r="K23" s="115"/>
      <c r="L23" s="14">
        <v>12231</v>
      </c>
      <c r="M23" s="14" t="s">
        <v>125</v>
      </c>
      <c r="N23" s="16">
        <v>29252990</v>
      </c>
      <c r="O23" s="17">
        <v>913970703302360</v>
      </c>
      <c r="P23" s="89">
        <v>55</v>
      </c>
      <c r="Q23" s="76" t="s">
        <v>13</v>
      </c>
      <c r="R23" s="2" t="s">
        <v>126</v>
      </c>
      <c r="S23" s="97">
        <v>2000</v>
      </c>
      <c r="T23" s="50" t="s">
        <v>124</v>
      </c>
      <c r="U23" s="142">
        <v>53</v>
      </c>
      <c r="V23" s="69" t="s">
        <v>13</v>
      </c>
      <c r="W23" s="74">
        <f t="shared" si="1"/>
        <v>106000</v>
      </c>
      <c r="X23" s="118"/>
      <c r="Y23" s="21">
        <v>12614</v>
      </c>
      <c r="Z23" s="21" t="s">
        <v>127</v>
      </c>
      <c r="AA23" s="22">
        <v>29252990</v>
      </c>
      <c r="AB23" s="23">
        <v>913970703302360</v>
      </c>
      <c r="AC23" s="24" t="e">
        <f>W23/J23/1.5</f>
        <v>#REF!</v>
      </c>
    </row>
    <row r="24" spans="1:29" ht="28.5" customHeight="1">
      <c r="A24" s="5">
        <v>56</v>
      </c>
      <c r="B24" s="83">
        <v>155</v>
      </c>
      <c r="C24" s="76" t="s">
        <v>13</v>
      </c>
      <c r="D24" s="102" t="s">
        <v>130</v>
      </c>
      <c r="E24" s="97">
        <v>3000</v>
      </c>
      <c r="F24" s="50" t="s">
        <v>128</v>
      </c>
      <c r="G24" s="80">
        <v>152</v>
      </c>
      <c r="H24" s="79" t="e">
        <f>VLOOKUP(L:L,#REF!,2,FALSE)</f>
        <v>#REF!</v>
      </c>
      <c r="I24" s="64" t="s">
        <v>13</v>
      </c>
      <c r="J24" s="72" t="e">
        <f t="shared" si="0"/>
        <v>#REF!</v>
      </c>
      <c r="K24" s="116" t="s">
        <v>436</v>
      </c>
      <c r="L24" s="14">
        <v>12477</v>
      </c>
      <c r="M24" s="14" t="s">
        <v>129</v>
      </c>
      <c r="N24" s="16">
        <v>29224990</v>
      </c>
      <c r="O24" s="17">
        <v>914010606044328</v>
      </c>
      <c r="P24" s="89">
        <v>160</v>
      </c>
      <c r="Q24" s="76" t="s">
        <v>13</v>
      </c>
      <c r="R24" s="18" t="s">
        <v>130</v>
      </c>
      <c r="S24" s="97">
        <v>7000</v>
      </c>
      <c r="T24" s="50" t="s">
        <v>131</v>
      </c>
      <c r="U24" s="142">
        <v>162</v>
      </c>
      <c r="V24" s="69" t="s">
        <v>13</v>
      </c>
      <c r="W24" s="74">
        <f t="shared" si="1"/>
        <v>1134000</v>
      </c>
      <c r="X24" s="118"/>
      <c r="Y24" s="21">
        <v>12066</v>
      </c>
      <c r="Z24" s="21" t="s">
        <v>132</v>
      </c>
      <c r="AA24" s="22">
        <v>29224990</v>
      </c>
      <c r="AB24" s="23">
        <v>914010606044328</v>
      </c>
      <c r="AC24" s="24" t="e">
        <f>W24/J24</f>
        <v>#REF!</v>
      </c>
    </row>
    <row r="25" spans="1:29" ht="28.5" customHeight="1">
      <c r="A25" s="5">
        <v>77</v>
      </c>
      <c r="B25" s="83">
        <v>311</v>
      </c>
      <c r="C25" s="76" t="s">
        <v>13</v>
      </c>
      <c r="D25" s="2" t="s">
        <v>133</v>
      </c>
      <c r="E25" s="97">
        <v>5000</v>
      </c>
      <c r="F25" s="50" t="s">
        <v>49</v>
      </c>
      <c r="G25" s="16">
        <v>286</v>
      </c>
      <c r="H25" s="79" t="e">
        <f>VLOOKUP(L:L,#REF!,2,FALSE)</f>
        <v>#REF!</v>
      </c>
      <c r="I25" s="64" t="s">
        <v>13</v>
      </c>
      <c r="J25" s="72" t="e">
        <f t="shared" si="0"/>
        <v>#REF!</v>
      </c>
      <c r="K25" s="115"/>
      <c r="L25" s="14">
        <v>12232</v>
      </c>
      <c r="M25" s="14" t="s">
        <v>134</v>
      </c>
      <c r="N25" s="16">
        <v>29349990</v>
      </c>
      <c r="O25" s="17">
        <v>914020328222217</v>
      </c>
      <c r="P25" s="89">
        <v>318</v>
      </c>
      <c r="Q25" s="76" t="s">
        <v>13</v>
      </c>
      <c r="R25" s="18" t="s">
        <v>135</v>
      </c>
      <c r="S25" s="97">
        <v>5000</v>
      </c>
      <c r="T25" s="50" t="s">
        <v>51</v>
      </c>
      <c r="U25" s="142">
        <v>285</v>
      </c>
      <c r="V25" s="69" t="s">
        <v>52</v>
      </c>
      <c r="W25" s="74">
        <f t="shared" si="1"/>
        <v>1425000</v>
      </c>
      <c r="X25" s="119" t="s">
        <v>53</v>
      </c>
      <c r="Y25" s="21">
        <v>12268</v>
      </c>
      <c r="Z25" s="21" t="s">
        <v>136</v>
      </c>
      <c r="AA25" s="22">
        <v>29349990</v>
      </c>
      <c r="AB25" s="23">
        <v>914020328222217</v>
      </c>
      <c r="AC25" s="24" t="e">
        <f>W25/J25</f>
        <v>#REF!</v>
      </c>
    </row>
    <row r="26" spans="1:29" ht="28.5" customHeight="1">
      <c r="A26" s="5">
        <v>76</v>
      </c>
      <c r="B26" s="83">
        <v>264</v>
      </c>
      <c r="C26" s="76" t="s">
        <v>13</v>
      </c>
      <c r="D26" s="2" t="s">
        <v>427</v>
      </c>
      <c r="E26" s="98">
        <v>3000</v>
      </c>
      <c r="F26" s="50" t="s">
        <v>137</v>
      </c>
      <c r="G26" s="95" t="s">
        <v>138</v>
      </c>
      <c r="H26" s="79" t="e">
        <f>VLOOKUP(L:L,#REF!,2,FALSE)</f>
        <v>#REF!</v>
      </c>
      <c r="I26" s="65"/>
      <c r="J26" s="72"/>
      <c r="K26" s="4"/>
      <c r="L26" s="14">
        <v>12233</v>
      </c>
      <c r="M26" s="14" t="s">
        <v>139</v>
      </c>
      <c r="N26" s="16">
        <v>29412000</v>
      </c>
      <c r="O26" s="26">
        <v>913990714957256</v>
      </c>
      <c r="P26" s="89">
        <v>318</v>
      </c>
      <c r="Q26" s="76" t="s">
        <v>13</v>
      </c>
      <c r="R26" s="18" t="s">
        <v>140</v>
      </c>
      <c r="S26" s="98">
        <v>3000</v>
      </c>
      <c r="T26" s="50" t="s">
        <v>141</v>
      </c>
      <c r="U26" s="143" t="s">
        <v>142</v>
      </c>
      <c r="V26" s="70"/>
      <c r="W26" s="74"/>
      <c r="X26" s="75" t="s">
        <v>46</v>
      </c>
      <c r="Y26" s="21">
        <v>12489</v>
      </c>
      <c r="Z26" s="21" t="s">
        <v>143</v>
      </c>
      <c r="AA26" s="22">
        <v>29412000</v>
      </c>
      <c r="AB26" s="27">
        <v>913990714957256</v>
      </c>
      <c r="AC26" s="28"/>
    </row>
    <row r="27" spans="1:29" ht="40.5" customHeight="1">
      <c r="A27" s="5">
        <v>78</v>
      </c>
      <c r="B27" s="83">
        <v>36.299999999999997</v>
      </c>
      <c r="C27" s="76" t="s">
        <v>13</v>
      </c>
      <c r="D27" s="2" t="s">
        <v>144</v>
      </c>
      <c r="E27" s="97">
        <v>20000</v>
      </c>
      <c r="F27" s="50" t="s">
        <v>145</v>
      </c>
      <c r="G27" s="16">
        <v>36.5</v>
      </c>
      <c r="H27" s="79" t="e">
        <f>VLOOKUP(L:L,#REF!,2,FALSE)</f>
        <v>#REF!</v>
      </c>
      <c r="I27" s="64" t="s">
        <v>13</v>
      </c>
      <c r="J27" s="72" t="e">
        <f t="shared" si="0"/>
        <v>#REF!</v>
      </c>
      <c r="K27" s="115"/>
      <c r="L27" s="14">
        <v>12324</v>
      </c>
      <c r="M27" s="14" t="s">
        <v>146</v>
      </c>
      <c r="N27" s="22">
        <v>29412000</v>
      </c>
      <c r="O27" s="27">
        <v>913961207720340</v>
      </c>
      <c r="P27" s="89">
        <v>35</v>
      </c>
      <c r="Q27" s="76" t="s">
        <v>13</v>
      </c>
      <c r="R27" s="18" t="s">
        <v>144</v>
      </c>
      <c r="S27" s="97">
        <v>40000</v>
      </c>
      <c r="T27" s="50" t="s">
        <v>61</v>
      </c>
      <c r="U27" s="142">
        <v>35</v>
      </c>
      <c r="V27" s="69" t="s">
        <v>13</v>
      </c>
      <c r="W27" s="74">
        <f t="shared" si="1"/>
        <v>1400000</v>
      </c>
      <c r="X27" s="118"/>
      <c r="Y27" s="21">
        <v>12490</v>
      </c>
      <c r="Z27" s="21" t="s">
        <v>147</v>
      </c>
      <c r="AA27" s="22">
        <v>29412000</v>
      </c>
      <c r="AB27" s="27">
        <v>913961207720340</v>
      </c>
      <c r="AC27" s="24" t="e">
        <f>U27/H27</f>
        <v>#REF!</v>
      </c>
    </row>
    <row r="28" spans="1:29" ht="48.95" customHeight="1">
      <c r="A28" s="5">
        <v>83</v>
      </c>
      <c r="B28" s="83">
        <v>3000</v>
      </c>
      <c r="C28" s="76" t="s">
        <v>13</v>
      </c>
      <c r="D28" s="2" t="s">
        <v>148</v>
      </c>
      <c r="E28" s="97">
        <v>400</v>
      </c>
      <c r="F28" s="50" t="s">
        <v>77</v>
      </c>
      <c r="G28" s="16">
        <v>3000</v>
      </c>
      <c r="H28" s="79" t="e">
        <f>VLOOKUP(L:L,#REF!,2,FALSE)</f>
        <v>#REF!</v>
      </c>
      <c r="I28" s="64" t="s">
        <v>13</v>
      </c>
      <c r="J28" s="72" t="e">
        <f t="shared" si="0"/>
        <v>#REF!</v>
      </c>
      <c r="K28" s="115"/>
      <c r="L28" s="14">
        <v>12234</v>
      </c>
      <c r="M28" s="14" t="s">
        <v>149</v>
      </c>
      <c r="N28" s="16">
        <v>29419090</v>
      </c>
      <c r="O28" s="17">
        <v>913980321321892</v>
      </c>
      <c r="P28" s="89">
        <v>3045</v>
      </c>
      <c r="Q28" s="76" t="s">
        <v>93</v>
      </c>
      <c r="R28" s="18" t="s">
        <v>150</v>
      </c>
      <c r="S28" s="97">
        <v>400</v>
      </c>
      <c r="T28" s="50" t="s">
        <v>77</v>
      </c>
      <c r="U28" s="142">
        <v>3000</v>
      </c>
      <c r="V28" s="69" t="s">
        <v>13</v>
      </c>
      <c r="W28" s="74">
        <f t="shared" si="1"/>
        <v>1200000</v>
      </c>
      <c r="X28" s="118"/>
      <c r="Y28" s="21">
        <v>12444</v>
      </c>
      <c r="Z28" s="21" t="s">
        <v>151</v>
      </c>
      <c r="AA28" s="22">
        <v>29419090</v>
      </c>
      <c r="AB28" s="23">
        <v>913980321321892</v>
      </c>
      <c r="AC28" s="24" t="e">
        <f>W28/J28/1.6</f>
        <v>#REF!</v>
      </c>
    </row>
    <row r="29" spans="1:29" ht="28.5" customHeight="1">
      <c r="A29" s="5">
        <v>87</v>
      </c>
      <c r="B29" s="83">
        <v>44.5</v>
      </c>
      <c r="C29" s="76" t="s">
        <v>13</v>
      </c>
      <c r="D29" s="2" t="s">
        <v>152</v>
      </c>
      <c r="E29" s="97">
        <v>72000</v>
      </c>
      <c r="F29" s="50" t="s">
        <v>61</v>
      </c>
      <c r="G29" s="16">
        <v>44.5</v>
      </c>
      <c r="H29" s="79" t="e">
        <f>VLOOKUP(L:L,#REF!,2,FALSE)</f>
        <v>#REF!</v>
      </c>
      <c r="I29" s="64" t="s">
        <v>13</v>
      </c>
      <c r="J29" s="72" t="e">
        <f t="shared" si="0"/>
        <v>#REF!</v>
      </c>
      <c r="K29" s="115"/>
      <c r="L29" s="14">
        <v>12236</v>
      </c>
      <c r="M29" s="14" t="s">
        <v>153</v>
      </c>
      <c r="N29" s="16">
        <v>29419090</v>
      </c>
      <c r="O29" s="17">
        <v>913951012358605</v>
      </c>
      <c r="P29" s="89">
        <v>44.3</v>
      </c>
      <c r="Q29" s="76" t="s">
        <v>13</v>
      </c>
      <c r="R29" s="2" t="s">
        <v>152</v>
      </c>
      <c r="S29" s="97">
        <v>72000</v>
      </c>
      <c r="T29" s="50" t="s">
        <v>145</v>
      </c>
      <c r="U29" s="142">
        <v>44</v>
      </c>
      <c r="V29" s="69" t="s">
        <v>13</v>
      </c>
      <c r="W29" s="74">
        <f t="shared" si="1"/>
        <v>3168000</v>
      </c>
      <c r="X29" s="118"/>
      <c r="Y29" s="21">
        <v>12274</v>
      </c>
      <c r="Z29" s="21" t="s">
        <v>154</v>
      </c>
      <c r="AA29" s="22">
        <v>29419090</v>
      </c>
      <c r="AB29" s="23">
        <v>913951012358605</v>
      </c>
      <c r="AC29" s="24" t="e">
        <f t="shared" ref="AC29:AC37" si="3">W29/J29</f>
        <v>#REF!</v>
      </c>
    </row>
    <row r="30" spans="1:29" ht="37.5" customHeight="1">
      <c r="A30" s="5">
        <v>34</v>
      </c>
      <c r="B30" s="84">
        <v>13.3</v>
      </c>
      <c r="C30" s="78" t="s">
        <v>13</v>
      </c>
      <c r="D30" s="2" t="s">
        <v>155</v>
      </c>
      <c r="E30" s="97">
        <v>12000</v>
      </c>
      <c r="F30" s="50" t="s">
        <v>156</v>
      </c>
      <c r="G30" s="80">
        <v>16</v>
      </c>
      <c r="H30" s="79" t="e">
        <f>VLOOKUP(L:L,#REF!,2,FALSE)</f>
        <v>#REF!</v>
      </c>
      <c r="I30" s="64" t="s">
        <v>13</v>
      </c>
      <c r="J30" s="72" t="e">
        <f t="shared" si="0"/>
        <v>#REF!</v>
      </c>
      <c r="K30" s="114" t="s">
        <v>418</v>
      </c>
      <c r="L30" s="14">
        <v>11910</v>
      </c>
      <c r="M30" s="14" t="s">
        <v>157</v>
      </c>
      <c r="N30" s="16">
        <v>29337990</v>
      </c>
      <c r="O30" s="17">
        <v>913951202536209</v>
      </c>
      <c r="P30" s="89">
        <v>20.7</v>
      </c>
      <c r="Q30" s="76" t="s">
        <v>13</v>
      </c>
      <c r="R30" s="18" t="s">
        <v>158</v>
      </c>
      <c r="S30" s="97">
        <v>6000</v>
      </c>
      <c r="T30" s="50" t="s">
        <v>159</v>
      </c>
      <c r="U30" s="142">
        <v>20</v>
      </c>
      <c r="V30" s="69" t="s">
        <v>13</v>
      </c>
      <c r="W30" s="74">
        <f t="shared" si="1"/>
        <v>120000</v>
      </c>
      <c r="X30" s="118"/>
      <c r="Y30" s="21">
        <v>12432</v>
      </c>
      <c r="Z30" s="21" t="s">
        <v>160</v>
      </c>
      <c r="AA30" s="22">
        <v>29337990</v>
      </c>
      <c r="AB30" s="23">
        <v>913951202536209</v>
      </c>
      <c r="AC30" s="24" t="e">
        <f t="shared" si="3"/>
        <v>#REF!</v>
      </c>
    </row>
    <row r="31" spans="1:29" ht="55.5" customHeight="1">
      <c r="A31" s="5">
        <v>50</v>
      </c>
      <c r="B31" s="83">
        <v>92.5</v>
      </c>
      <c r="C31" s="76" t="s">
        <v>13</v>
      </c>
      <c r="D31" s="2" t="s">
        <v>161</v>
      </c>
      <c r="E31" s="97">
        <v>5000</v>
      </c>
      <c r="F31" s="50" t="s">
        <v>162</v>
      </c>
      <c r="G31" s="16">
        <v>98.5</v>
      </c>
      <c r="H31" s="79" t="e">
        <f>VLOOKUP(L:L,#REF!,2,FALSE)</f>
        <v>#REF!</v>
      </c>
      <c r="I31" s="64" t="s">
        <v>13</v>
      </c>
      <c r="J31" s="72" t="e">
        <f t="shared" si="0"/>
        <v>#REF!</v>
      </c>
      <c r="K31" s="117" t="s">
        <v>418</v>
      </c>
      <c r="L31" s="14">
        <v>12237</v>
      </c>
      <c r="M31" s="14" t="s">
        <v>163</v>
      </c>
      <c r="N31" s="16">
        <v>29419090</v>
      </c>
      <c r="O31" s="17">
        <v>913970217768452</v>
      </c>
      <c r="P31" s="89">
        <v>92</v>
      </c>
      <c r="Q31" s="76" t="s">
        <v>13</v>
      </c>
      <c r="R31" s="18" t="s">
        <v>164</v>
      </c>
      <c r="S31" s="97">
        <v>5000</v>
      </c>
      <c r="T31" s="50" t="s">
        <v>165</v>
      </c>
      <c r="U31" s="142">
        <v>99</v>
      </c>
      <c r="V31" s="69" t="s">
        <v>13</v>
      </c>
      <c r="W31" s="74">
        <f t="shared" si="1"/>
        <v>495000</v>
      </c>
      <c r="X31" s="119" t="s">
        <v>166</v>
      </c>
      <c r="Y31" s="21">
        <v>12276</v>
      </c>
      <c r="Z31" s="21" t="s">
        <v>167</v>
      </c>
      <c r="AA31" s="22">
        <v>29419090</v>
      </c>
      <c r="AB31" s="23">
        <v>913970217768452</v>
      </c>
      <c r="AC31" s="24" t="e">
        <f t="shared" si="3"/>
        <v>#REF!</v>
      </c>
    </row>
    <row r="32" spans="1:29" ht="28.5" customHeight="1">
      <c r="A32" s="5">
        <v>60</v>
      </c>
      <c r="B32" s="83">
        <v>66.7</v>
      </c>
      <c r="C32" s="76" t="s">
        <v>13</v>
      </c>
      <c r="D32" s="2" t="s">
        <v>168</v>
      </c>
      <c r="E32" s="97">
        <v>10000</v>
      </c>
      <c r="F32" s="50" t="s">
        <v>169</v>
      </c>
      <c r="G32" s="80">
        <v>66.7</v>
      </c>
      <c r="H32" s="79" t="e">
        <f>VLOOKUP(L:L,#REF!,2,FALSE)</f>
        <v>#REF!</v>
      </c>
      <c r="I32" s="64" t="s">
        <v>13</v>
      </c>
      <c r="J32" s="72" t="e">
        <f t="shared" si="0"/>
        <v>#REF!</v>
      </c>
      <c r="K32" s="115"/>
      <c r="L32" s="14">
        <v>12478</v>
      </c>
      <c r="M32" s="14" t="s">
        <v>170</v>
      </c>
      <c r="N32" s="16">
        <v>29419090</v>
      </c>
      <c r="O32" s="17">
        <v>913961017393223</v>
      </c>
      <c r="P32" s="89">
        <v>69</v>
      </c>
      <c r="Q32" s="76" t="s">
        <v>13</v>
      </c>
      <c r="R32" s="18" t="s">
        <v>168</v>
      </c>
      <c r="S32" s="97">
        <v>8000</v>
      </c>
      <c r="T32" s="50" t="s">
        <v>171</v>
      </c>
      <c r="U32" s="142">
        <v>69</v>
      </c>
      <c r="V32" s="69" t="s">
        <v>13</v>
      </c>
      <c r="W32" s="74">
        <f t="shared" si="1"/>
        <v>552000</v>
      </c>
      <c r="X32" s="118"/>
      <c r="Y32" s="21">
        <v>12277</v>
      </c>
      <c r="Z32" s="21" t="s">
        <v>172</v>
      </c>
      <c r="AA32" s="22">
        <v>29419090</v>
      </c>
      <c r="AB32" s="23">
        <v>913961017393223</v>
      </c>
      <c r="AC32" s="24" t="e">
        <f t="shared" si="3"/>
        <v>#REF!</v>
      </c>
    </row>
    <row r="33" spans="1:29" ht="28.5" customHeight="1">
      <c r="A33" s="5">
        <v>66</v>
      </c>
      <c r="B33" s="83">
        <v>43.65</v>
      </c>
      <c r="C33" s="76" t="s">
        <v>13</v>
      </c>
      <c r="D33" s="2" t="s">
        <v>173</v>
      </c>
      <c r="E33" s="97">
        <v>15000</v>
      </c>
      <c r="F33" s="50" t="s">
        <v>174</v>
      </c>
      <c r="G33" s="80">
        <v>42.5</v>
      </c>
      <c r="H33" s="79" t="e">
        <f>VLOOKUP(L:L,#REF!,2,FALSE)</f>
        <v>#REF!</v>
      </c>
      <c r="I33" s="64" t="s">
        <v>13</v>
      </c>
      <c r="J33" s="72" t="e">
        <f t="shared" si="0"/>
        <v>#REF!</v>
      </c>
      <c r="K33" s="115"/>
      <c r="L33" s="14">
        <v>12238</v>
      </c>
      <c r="M33" s="14" t="s">
        <v>175</v>
      </c>
      <c r="N33" s="16">
        <v>29335935</v>
      </c>
      <c r="O33" s="17">
        <v>913970728788106</v>
      </c>
      <c r="P33" s="89">
        <v>6.5</v>
      </c>
      <c r="Q33" s="77" t="s">
        <v>89</v>
      </c>
      <c r="R33" s="18" t="s">
        <v>176</v>
      </c>
      <c r="S33" s="97">
        <v>10000</v>
      </c>
      <c r="T33" s="50" t="s">
        <v>177</v>
      </c>
      <c r="U33" s="142">
        <v>6</v>
      </c>
      <c r="V33" s="69" t="s">
        <v>89</v>
      </c>
      <c r="W33" s="74">
        <f t="shared" si="1"/>
        <v>60000</v>
      </c>
      <c r="X33" s="118"/>
      <c r="Y33" s="21">
        <v>12278</v>
      </c>
      <c r="Z33" s="21" t="s">
        <v>178</v>
      </c>
      <c r="AA33" s="22">
        <v>29335935</v>
      </c>
      <c r="AB33" s="23">
        <v>913970728788106</v>
      </c>
      <c r="AC33" s="24" t="e">
        <f t="shared" si="3"/>
        <v>#REF!</v>
      </c>
    </row>
    <row r="34" spans="1:29" ht="28.5" customHeight="1">
      <c r="A34" s="5">
        <v>29</v>
      </c>
      <c r="B34" s="83">
        <v>43.2</v>
      </c>
      <c r="C34" s="76" t="s">
        <v>13</v>
      </c>
      <c r="D34" s="2" t="s">
        <v>179</v>
      </c>
      <c r="E34" s="97">
        <v>5000</v>
      </c>
      <c r="F34" s="50" t="s">
        <v>180</v>
      </c>
      <c r="G34" s="16">
        <v>52.5</v>
      </c>
      <c r="H34" s="79" t="e">
        <f>VLOOKUP(L:L,#REF!,2,FALSE)</f>
        <v>#REF!</v>
      </c>
      <c r="I34" s="64" t="s">
        <v>13</v>
      </c>
      <c r="J34" s="72" t="e">
        <f t="shared" si="0"/>
        <v>#REF!</v>
      </c>
      <c r="K34" s="117"/>
      <c r="L34" s="14">
        <v>12288</v>
      </c>
      <c r="M34" s="14" t="s">
        <v>181</v>
      </c>
      <c r="N34" s="16">
        <v>29362910</v>
      </c>
      <c r="O34" s="17">
        <v>913950601421620</v>
      </c>
      <c r="P34" s="89">
        <v>42</v>
      </c>
      <c r="Q34" s="76" t="s">
        <v>13</v>
      </c>
      <c r="R34" s="18" t="s">
        <v>182</v>
      </c>
      <c r="S34" s="97">
        <v>5000</v>
      </c>
      <c r="T34" s="50" t="s">
        <v>183</v>
      </c>
      <c r="U34" s="142">
        <v>52</v>
      </c>
      <c r="V34" s="69" t="s">
        <v>13</v>
      </c>
      <c r="W34" s="74">
        <f t="shared" si="1"/>
        <v>260000</v>
      </c>
      <c r="X34" s="119" t="s">
        <v>184</v>
      </c>
      <c r="Y34" s="21">
        <v>12279</v>
      </c>
      <c r="Z34" s="21" t="s">
        <v>185</v>
      </c>
      <c r="AA34" s="22">
        <v>29362910</v>
      </c>
      <c r="AB34" s="23">
        <v>913950601421620</v>
      </c>
      <c r="AC34" s="24" t="e">
        <f t="shared" si="3"/>
        <v>#REF!</v>
      </c>
    </row>
    <row r="35" spans="1:29" ht="28.5" customHeight="1">
      <c r="A35" s="5">
        <v>64</v>
      </c>
      <c r="B35" s="83"/>
      <c r="C35" s="76"/>
      <c r="D35" s="25" t="s">
        <v>186</v>
      </c>
      <c r="E35" s="97">
        <v>4000</v>
      </c>
      <c r="F35" s="50" t="s">
        <v>187</v>
      </c>
      <c r="G35" s="16">
        <v>86</v>
      </c>
      <c r="H35" s="79">
        <v>81.5</v>
      </c>
      <c r="I35" s="64" t="s">
        <v>13</v>
      </c>
      <c r="J35" s="72">
        <f t="shared" si="0"/>
        <v>326000</v>
      </c>
      <c r="K35" s="115"/>
      <c r="L35" s="14"/>
      <c r="M35" s="14"/>
      <c r="N35" s="16">
        <v>33012990</v>
      </c>
      <c r="O35" s="26">
        <v>913950906507642</v>
      </c>
      <c r="P35" s="89">
        <v>85.5</v>
      </c>
      <c r="Q35" s="76" t="s">
        <v>13</v>
      </c>
      <c r="R35" s="18" t="s">
        <v>188</v>
      </c>
      <c r="S35" s="97">
        <v>8000</v>
      </c>
      <c r="T35" s="50" t="s">
        <v>187</v>
      </c>
      <c r="U35" s="142">
        <v>79</v>
      </c>
      <c r="V35" s="69" t="s">
        <v>52</v>
      </c>
      <c r="W35" s="74">
        <f t="shared" si="1"/>
        <v>632000</v>
      </c>
      <c r="X35" s="119" t="s">
        <v>53</v>
      </c>
      <c r="Y35" s="21">
        <v>12492</v>
      </c>
      <c r="Z35" s="21" t="s">
        <v>189</v>
      </c>
      <c r="AA35" s="22">
        <v>33012990</v>
      </c>
      <c r="AB35" s="27">
        <v>913950906507642</v>
      </c>
      <c r="AC35" s="24">
        <f t="shared" si="3"/>
        <v>1.9386503067484662</v>
      </c>
    </row>
    <row r="36" spans="1:29" ht="28.5" customHeight="1">
      <c r="A36" s="5">
        <v>57</v>
      </c>
      <c r="B36" s="83">
        <v>69.5</v>
      </c>
      <c r="C36" s="76" t="s">
        <v>13</v>
      </c>
      <c r="D36" s="18" t="s">
        <v>424</v>
      </c>
      <c r="E36" s="97">
        <v>6000</v>
      </c>
      <c r="F36" s="50" t="s">
        <v>190</v>
      </c>
      <c r="G36" s="16">
        <v>69</v>
      </c>
      <c r="H36" s="79">
        <v>67.8</v>
      </c>
      <c r="I36" s="64" t="s">
        <v>13</v>
      </c>
      <c r="J36" s="72">
        <f t="shared" si="0"/>
        <v>406800</v>
      </c>
      <c r="K36" s="115"/>
      <c r="L36" s="14">
        <v>12239</v>
      </c>
      <c r="M36" s="14" t="s">
        <v>191</v>
      </c>
      <c r="N36" s="16">
        <v>29413000</v>
      </c>
      <c r="O36" s="17">
        <v>914010324574904</v>
      </c>
      <c r="P36" s="89">
        <v>70</v>
      </c>
      <c r="Q36" s="76" t="s">
        <v>13</v>
      </c>
      <c r="R36" s="18" t="s">
        <v>192</v>
      </c>
      <c r="S36" s="97">
        <v>6000</v>
      </c>
      <c r="T36" s="50" t="s">
        <v>193</v>
      </c>
      <c r="U36" s="142">
        <v>69</v>
      </c>
      <c r="V36" s="69" t="s">
        <v>13</v>
      </c>
      <c r="W36" s="74">
        <f t="shared" si="1"/>
        <v>414000</v>
      </c>
      <c r="X36" s="118"/>
      <c r="Y36" s="21">
        <v>12281</v>
      </c>
      <c r="Z36" s="21" t="s">
        <v>194</v>
      </c>
      <c r="AA36" s="22">
        <v>29413000</v>
      </c>
      <c r="AB36" s="23">
        <v>914010324574904</v>
      </c>
      <c r="AC36" s="24">
        <f t="shared" si="3"/>
        <v>1.0176991150442478</v>
      </c>
    </row>
    <row r="37" spans="1:29" ht="28.5" customHeight="1">
      <c r="A37" s="5">
        <v>71</v>
      </c>
      <c r="B37" s="83">
        <v>156</v>
      </c>
      <c r="C37" s="76" t="s">
        <v>93</v>
      </c>
      <c r="D37" s="2" t="s">
        <v>195</v>
      </c>
      <c r="E37" s="97">
        <v>4000</v>
      </c>
      <c r="F37" s="50" t="s">
        <v>70</v>
      </c>
      <c r="G37" s="16">
        <v>155</v>
      </c>
      <c r="H37" s="79" t="e">
        <f>VLOOKUP(L:L,#REF!,2,FALSE)</f>
        <v>#REF!</v>
      </c>
      <c r="I37" s="64" t="s">
        <v>13</v>
      </c>
      <c r="J37" s="72" t="e">
        <f t="shared" si="0"/>
        <v>#REF!</v>
      </c>
      <c r="K37" s="115"/>
      <c r="L37" s="14">
        <v>12401</v>
      </c>
      <c r="M37" s="14" t="s">
        <v>196</v>
      </c>
      <c r="N37" s="16">
        <v>29413000</v>
      </c>
      <c r="O37" s="17">
        <v>914020318310968</v>
      </c>
      <c r="P37" s="89">
        <v>260</v>
      </c>
      <c r="Q37" s="76" t="s">
        <v>13</v>
      </c>
      <c r="R37" s="18" t="s">
        <v>197</v>
      </c>
      <c r="S37" s="97">
        <v>2000</v>
      </c>
      <c r="T37" s="50" t="s">
        <v>198</v>
      </c>
      <c r="U37" s="142">
        <v>260</v>
      </c>
      <c r="V37" s="69" t="s">
        <v>13</v>
      </c>
      <c r="W37" s="74">
        <f t="shared" si="1"/>
        <v>520000</v>
      </c>
      <c r="X37" s="118"/>
      <c r="Y37" s="21">
        <v>12572</v>
      </c>
      <c r="Z37" s="21" t="s">
        <v>199</v>
      </c>
      <c r="AA37" s="22">
        <v>29413000</v>
      </c>
      <c r="AB37" s="23">
        <v>913950810592501</v>
      </c>
      <c r="AC37" s="24" t="e">
        <f t="shared" si="3"/>
        <v>#REF!</v>
      </c>
    </row>
    <row r="38" spans="1:29" ht="28.5" customHeight="1">
      <c r="A38" s="5">
        <v>41</v>
      </c>
      <c r="B38" s="83">
        <v>83</v>
      </c>
      <c r="C38" s="76" t="s">
        <v>13</v>
      </c>
      <c r="D38" s="18" t="s">
        <v>425</v>
      </c>
      <c r="E38" s="97">
        <v>3000</v>
      </c>
      <c r="F38" s="50" t="s">
        <v>200</v>
      </c>
      <c r="G38" s="80">
        <v>86.5</v>
      </c>
      <c r="H38" s="79">
        <v>86.5</v>
      </c>
      <c r="I38" s="64" t="s">
        <v>13</v>
      </c>
      <c r="J38" s="72">
        <f t="shared" si="0"/>
        <v>259500</v>
      </c>
      <c r="K38" s="115"/>
      <c r="L38" s="14">
        <v>11937</v>
      </c>
      <c r="M38" s="14" t="s">
        <v>201</v>
      </c>
      <c r="N38" s="16">
        <v>29413000</v>
      </c>
      <c r="O38" s="26">
        <v>913951218324523</v>
      </c>
      <c r="P38" s="89">
        <v>86.5</v>
      </c>
      <c r="Q38" s="76" t="s">
        <v>13</v>
      </c>
      <c r="R38" s="18" t="s">
        <v>202</v>
      </c>
      <c r="S38" s="97">
        <v>3000</v>
      </c>
      <c r="T38" s="50" t="s">
        <v>200</v>
      </c>
      <c r="U38" s="142">
        <v>88</v>
      </c>
      <c r="V38" s="69" t="s">
        <v>13</v>
      </c>
      <c r="W38" s="74">
        <f t="shared" si="1"/>
        <v>264000</v>
      </c>
      <c r="X38" s="118"/>
      <c r="Y38" s="21">
        <v>12283</v>
      </c>
      <c r="Z38" s="21" t="s">
        <v>203</v>
      </c>
      <c r="AA38" s="22">
        <v>29413000</v>
      </c>
      <c r="AB38" s="27">
        <v>913951218324523</v>
      </c>
      <c r="AC38" s="24">
        <f>U38/G38</f>
        <v>1.0173410404624277</v>
      </c>
    </row>
    <row r="39" spans="1:29" ht="28.5" customHeight="1">
      <c r="A39" s="5">
        <v>68</v>
      </c>
      <c r="B39" s="83">
        <v>14.4</v>
      </c>
      <c r="C39" s="76" t="s">
        <v>13</v>
      </c>
      <c r="D39" s="2" t="s">
        <v>204</v>
      </c>
      <c r="E39" s="97">
        <v>35000</v>
      </c>
      <c r="F39" s="50" t="s">
        <v>205</v>
      </c>
      <c r="G39" s="80">
        <v>13.5</v>
      </c>
      <c r="H39" s="79" t="e">
        <f>VLOOKUP(L:L,#REF!,2,FALSE)</f>
        <v>#REF!</v>
      </c>
      <c r="I39" s="64" t="s">
        <v>13</v>
      </c>
      <c r="J39" s="72" t="e">
        <f t="shared" si="0"/>
        <v>#REF!</v>
      </c>
      <c r="K39" s="115"/>
      <c r="L39" s="14">
        <v>12479</v>
      </c>
      <c r="M39" s="14" t="s">
        <v>206</v>
      </c>
      <c r="N39" s="16">
        <v>29280090</v>
      </c>
      <c r="O39" s="17">
        <v>913950916401203</v>
      </c>
      <c r="P39" s="89">
        <v>14</v>
      </c>
      <c r="Q39" s="76" t="s">
        <v>13</v>
      </c>
      <c r="R39" s="18" t="s">
        <v>207</v>
      </c>
      <c r="S39" s="97">
        <v>35000</v>
      </c>
      <c r="T39" s="50" t="s">
        <v>66</v>
      </c>
      <c r="U39" s="142">
        <v>14</v>
      </c>
      <c r="V39" s="69" t="s">
        <v>13</v>
      </c>
      <c r="W39" s="74">
        <f t="shared" si="1"/>
        <v>490000</v>
      </c>
      <c r="X39" s="118"/>
      <c r="Y39" s="21">
        <v>12493</v>
      </c>
      <c r="Z39" s="21" t="s">
        <v>208</v>
      </c>
      <c r="AA39" s="22">
        <v>29280090</v>
      </c>
      <c r="AB39" s="23">
        <v>913950916401203</v>
      </c>
      <c r="AC39" s="24" t="e">
        <f t="shared" ref="AC39:AC46" si="4">W39/J39</f>
        <v>#REF!</v>
      </c>
    </row>
    <row r="40" spans="1:29" ht="28.5" customHeight="1">
      <c r="A40" s="5">
        <v>82</v>
      </c>
      <c r="B40" s="83">
        <v>25.2</v>
      </c>
      <c r="C40" s="76" t="s">
        <v>13</v>
      </c>
      <c r="D40" s="2" t="s">
        <v>209</v>
      </c>
      <c r="E40" s="97">
        <v>64000</v>
      </c>
      <c r="F40" s="50" t="s">
        <v>210</v>
      </c>
      <c r="G40" s="80">
        <v>25.2</v>
      </c>
      <c r="H40" s="79" t="e">
        <f>VLOOKUP(L:L,#REF!,2,FALSE)</f>
        <v>#REF!</v>
      </c>
      <c r="I40" s="64" t="s">
        <v>13</v>
      </c>
      <c r="J40" s="72" t="e">
        <f t="shared" si="0"/>
        <v>#REF!</v>
      </c>
      <c r="K40" s="115"/>
      <c r="L40" s="14">
        <v>12241</v>
      </c>
      <c r="M40" s="14" t="s">
        <v>211</v>
      </c>
      <c r="N40" s="16">
        <v>29412000</v>
      </c>
      <c r="O40" s="17">
        <v>913971209496635</v>
      </c>
      <c r="P40" s="90">
        <v>25.5</v>
      </c>
      <c r="Q40" s="76" t="s">
        <v>13</v>
      </c>
      <c r="R40" s="18" t="s">
        <v>209</v>
      </c>
      <c r="S40" s="97">
        <v>64000</v>
      </c>
      <c r="T40" s="50" t="s">
        <v>210</v>
      </c>
      <c r="U40" s="142">
        <v>25.5</v>
      </c>
      <c r="V40" s="69" t="s">
        <v>13</v>
      </c>
      <c r="W40" s="74">
        <f t="shared" si="1"/>
        <v>1632000</v>
      </c>
      <c r="X40" s="118"/>
      <c r="Y40" s="21">
        <v>12409</v>
      </c>
      <c r="Z40" s="21" t="s">
        <v>212</v>
      </c>
      <c r="AA40" s="22">
        <v>29412000</v>
      </c>
      <c r="AB40" s="23">
        <v>913971209496635</v>
      </c>
      <c r="AC40" s="24" t="e">
        <f t="shared" si="4"/>
        <v>#REF!</v>
      </c>
    </row>
    <row r="41" spans="1:29" ht="28.5" customHeight="1">
      <c r="A41" s="5">
        <v>59</v>
      </c>
      <c r="B41" s="83">
        <v>32.04</v>
      </c>
      <c r="C41" s="76" t="s">
        <v>13</v>
      </c>
      <c r="D41" s="99" t="s">
        <v>213</v>
      </c>
      <c r="E41" s="101">
        <v>30000</v>
      </c>
      <c r="F41" s="50" t="s">
        <v>112</v>
      </c>
      <c r="G41" s="16">
        <v>46</v>
      </c>
      <c r="H41" s="79" t="e">
        <f>VLOOKUP(L:L,#REF!,2,FALSE)</f>
        <v>#REF!</v>
      </c>
      <c r="I41" s="64" t="s">
        <v>13</v>
      </c>
      <c r="J41" s="72" t="e">
        <f t="shared" si="0"/>
        <v>#REF!</v>
      </c>
      <c r="K41" s="114" t="s">
        <v>430</v>
      </c>
      <c r="L41" s="14">
        <v>11969</v>
      </c>
      <c r="M41" s="14" t="s">
        <v>214</v>
      </c>
      <c r="N41" s="16">
        <v>29362700</v>
      </c>
      <c r="O41" s="17">
        <v>913950815880994</v>
      </c>
      <c r="P41" s="89">
        <v>34</v>
      </c>
      <c r="Q41" s="76" t="s">
        <v>13</v>
      </c>
      <c r="R41" s="100" t="s">
        <v>215</v>
      </c>
      <c r="S41" s="101">
        <v>30000</v>
      </c>
      <c r="T41" s="50" t="s">
        <v>112</v>
      </c>
      <c r="U41" s="142">
        <v>46</v>
      </c>
      <c r="V41" s="69" t="s">
        <v>13</v>
      </c>
      <c r="W41" s="74">
        <f t="shared" si="1"/>
        <v>1380000</v>
      </c>
      <c r="X41" s="118"/>
      <c r="Y41" s="21">
        <v>12082</v>
      </c>
      <c r="Z41" s="21" t="s">
        <v>216</v>
      </c>
      <c r="AA41" s="22">
        <v>29362700</v>
      </c>
      <c r="AB41" s="23">
        <v>913950815880994</v>
      </c>
      <c r="AC41" s="24" t="e">
        <f t="shared" si="4"/>
        <v>#REF!</v>
      </c>
    </row>
    <row r="42" spans="1:29" ht="28.5" customHeight="1">
      <c r="A42" s="5">
        <v>38</v>
      </c>
      <c r="B42" s="83">
        <v>23.2</v>
      </c>
      <c r="C42" s="76" t="s">
        <v>13</v>
      </c>
      <c r="D42" s="2" t="s">
        <v>217</v>
      </c>
      <c r="E42" s="97">
        <v>10000</v>
      </c>
      <c r="F42" s="50" t="s">
        <v>218</v>
      </c>
      <c r="G42" s="80">
        <v>21.6</v>
      </c>
      <c r="H42" s="79" t="e">
        <f>VLOOKUP(L:L,#REF!,2,FALSE)</f>
        <v>#REF!</v>
      </c>
      <c r="I42" s="64" t="s">
        <v>13</v>
      </c>
      <c r="J42" s="72" t="e">
        <f t="shared" si="0"/>
        <v>#REF!</v>
      </c>
      <c r="K42" s="115"/>
      <c r="L42" s="14">
        <v>12242</v>
      </c>
      <c r="M42" s="14" t="s">
        <v>219</v>
      </c>
      <c r="N42" s="16">
        <v>29182900</v>
      </c>
      <c r="O42" s="17">
        <v>913980721153460</v>
      </c>
      <c r="P42" s="89">
        <v>28</v>
      </c>
      <c r="Q42" s="76" t="s">
        <v>13</v>
      </c>
      <c r="R42" s="18" t="s">
        <v>220</v>
      </c>
      <c r="S42" s="97">
        <v>5000</v>
      </c>
      <c r="T42" s="50" t="s">
        <v>218</v>
      </c>
      <c r="U42" s="142">
        <v>28</v>
      </c>
      <c r="V42" s="69" t="s">
        <v>13</v>
      </c>
      <c r="W42" s="74">
        <f t="shared" si="1"/>
        <v>140000</v>
      </c>
      <c r="X42" s="118"/>
      <c r="Y42" s="21">
        <v>12083</v>
      </c>
      <c r="Z42" s="21" t="s">
        <v>221</v>
      </c>
      <c r="AA42" s="22">
        <v>29182900</v>
      </c>
      <c r="AB42" s="23">
        <v>913980721153460</v>
      </c>
      <c r="AC42" s="24" t="e">
        <f t="shared" si="4"/>
        <v>#REF!</v>
      </c>
    </row>
    <row r="43" spans="1:29" ht="28.5" customHeight="1">
      <c r="A43" s="5">
        <v>85</v>
      </c>
      <c r="B43" s="83">
        <v>515</v>
      </c>
      <c r="C43" s="76" t="s">
        <v>13</v>
      </c>
      <c r="D43" s="2" t="s">
        <v>222</v>
      </c>
      <c r="E43" s="97">
        <v>5000</v>
      </c>
      <c r="F43" s="50" t="s">
        <v>223</v>
      </c>
      <c r="G43" s="80">
        <v>585</v>
      </c>
      <c r="H43" s="79" t="e">
        <f>VLOOKUP(L:L,#REF!,2,FALSE)</f>
        <v>#REF!</v>
      </c>
      <c r="I43" s="64" t="s">
        <v>13</v>
      </c>
      <c r="J43" s="72" t="e">
        <f t="shared" si="0"/>
        <v>#REF!</v>
      </c>
      <c r="K43" s="114" t="s">
        <v>419</v>
      </c>
      <c r="L43" s="14">
        <v>12480</v>
      </c>
      <c r="M43" s="14" t="s">
        <v>224</v>
      </c>
      <c r="N43" s="16">
        <v>29412000</v>
      </c>
      <c r="O43" s="17">
        <v>913980308364273</v>
      </c>
      <c r="P43" s="89">
        <v>521</v>
      </c>
      <c r="Q43" s="76" t="s">
        <v>13</v>
      </c>
      <c r="R43" s="2" t="s">
        <v>222</v>
      </c>
      <c r="S43" s="97">
        <v>5000</v>
      </c>
      <c r="T43" s="50" t="s">
        <v>225</v>
      </c>
      <c r="U43" s="143">
        <v>620</v>
      </c>
      <c r="V43" s="69" t="s">
        <v>13</v>
      </c>
      <c r="W43" s="74">
        <f t="shared" si="1"/>
        <v>3100000</v>
      </c>
      <c r="X43" s="119" t="s">
        <v>226</v>
      </c>
      <c r="Y43" s="21">
        <v>12494</v>
      </c>
      <c r="Z43" s="21" t="s">
        <v>227</v>
      </c>
      <c r="AA43" s="22">
        <v>29412000</v>
      </c>
      <c r="AB43" s="23">
        <v>913980308364273</v>
      </c>
      <c r="AC43" s="24" t="e">
        <f t="shared" si="4"/>
        <v>#REF!</v>
      </c>
    </row>
    <row r="44" spans="1:29" ht="28.5" customHeight="1">
      <c r="A44" s="5">
        <v>75</v>
      </c>
      <c r="B44" s="83">
        <v>145</v>
      </c>
      <c r="C44" s="76" t="s">
        <v>13</v>
      </c>
      <c r="D44" s="2" t="s">
        <v>228</v>
      </c>
      <c r="E44" s="97">
        <v>10000</v>
      </c>
      <c r="F44" s="50" t="s">
        <v>229</v>
      </c>
      <c r="G44" s="16">
        <v>142</v>
      </c>
      <c r="H44" s="79" t="e">
        <f>VLOOKUP(L:L,#REF!,2,FALSE)</f>
        <v>#REF!</v>
      </c>
      <c r="I44" s="64" t="s">
        <v>13</v>
      </c>
      <c r="J44" s="72" t="e">
        <f t="shared" si="0"/>
        <v>#REF!</v>
      </c>
      <c r="K44" s="114" t="s">
        <v>420</v>
      </c>
      <c r="L44" s="14">
        <v>12244</v>
      </c>
      <c r="M44" s="14" t="s">
        <v>230</v>
      </c>
      <c r="N44" s="16">
        <v>29419090</v>
      </c>
      <c r="O44" s="17">
        <v>913950806331851</v>
      </c>
      <c r="P44" s="89">
        <v>148</v>
      </c>
      <c r="Q44" s="76" t="s">
        <v>13</v>
      </c>
      <c r="R44" s="18" t="s">
        <v>231</v>
      </c>
      <c r="S44" s="97">
        <v>10000</v>
      </c>
      <c r="T44" s="50" t="s">
        <v>232</v>
      </c>
      <c r="U44" s="143">
        <v>142</v>
      </c>
      <c r="V44" s="69" t="s">
        <v>13</v>
      </c>
      <c r="W44" s="74">
        <f t="shared" si="1"/>
        <v>1420000</v>
      </c>
      <c r="X44" s="118"/>
      <c r="Y44" s="21">
        <v>12290</v>
      </c>
      <c r="Z44" s="21" t="s">
        <v>233</v>
      </c>
      <c r="AA44" s="22">
        <v>29419090</v>
      </c>
      <c r="AB44" s="23">
        <v>913950806331851</v>
      </c>
      <c r="AC44" s="24" t="e">
        <f t="shared" si="4"/>
        <v>#REF!</v>
      </c>
    </row>
    <row r="45" spans="1:29" ht="28.5" customHeight="1">
      <c r="A45" s="5">
        <v>91</v>
      </c>
      <c r="B45" s="83">
        <v>263.8</v>
      </c>
      <c r="C45" s="76" t="s">
        <v>13</v>
      </c>
      <c r="D45" s="2" t="s">
        <v>234</v>
      </c>
      <c r="E45" s="97">
        <v>3000</v>
      </c>
      <c r="F45" s="50" t="s">
        <v>235</v>
      </c>
      <c r="G45" s="80">
        <v>283</v>
      </c>
      <c r="H45" s="79" t="e">
        <f>VLOOKUP(L:L,#REF!,2,FALSE)</f>
        <v>#REF!</v>
      </c>
      <c r="I45" s="64" t="s">
        <v>13</v>
      </c>
      <c r="J45" s="72" t="e">
        <f t="shared" si="0"/>
        <v>#REF!</v>
      </c>
      <c r="K45" s="114" t="s">
        <v>420</v>
      </c>
      <c r="L45" s="14">
        <v>12293</v>
      </c>
      <c r="M45" s="14" t="s">
        <v>236</v>
      </c>
      <c r="N45" s="22">
        <v>29362210</v>
      </c>
      <c r="O45" s="23">
        <v>913980223020098</v>
      </c>
      <c r="P45" s="89">
        <v>264</v>
      </c>
      <c r="Q45" s="77" t="s">
        <v>13</v>
      </c>
      <c r="R45" s="18" t="s">
        <v>438</v>
      </c>
      <c r="S45" s="97">
        <v>3000</v>
      </c>
      <c r="T45" s="50" t="s">
        <v>235</v>
      </c>
      <c r="U45" s="142">
        <v>285</v>
      </c>
      <c r="V45" s="69" t="s">
        <v>13</v>
      </c>
      <c r="W45" s="74">
        <f t="shared" si="1"/>
        <v>855000</v>
      </c>
      <c r="X45" s="118"/>
      <c r="Y45" s="29">
        <v>12293</v>
      </c>
      <c r="Z45" s="29" t="s">
        <v>236</v>
      </c>
      <c r="AA45" s="22">
        <v>29362210</v>
      </c>
      <c r="AB45" s="23">
        <v>913980223020098</v>
      </c>
      <c r="AC45" s="24" t="e">
        <f t="shared" si="4"/>
        <v>#REF!</v>
      </c>
    </row>
    <row r="46" spans="1:29" ht="28.5" customHeight="1">
      <c r="A46" s="5">
        <v>45</v>
      </c>
      <c r="B46" s="83">
        <v>150</v>
      </c>
      <c r="C46" s="76" t="s">
        <v>13</v>
      </c>
      <c r="D46" s="18" t="s">
        <v>237</v>
      </c>
      <c r="E46" s="97">
        <v>2000</v>
      </c>
      <c r="F46" s="50" t="s">
        <v>238</v>
      </c>
      <c r="G46" s="80">
        <v>212</v>
      </c>
      <c r="H46" s="79" t="e">
        <f>VLOOKUP(L:L,#REF!,2,FALSE)</f>
        <v>#REF!</v>
      </c>
      <c r="I46" s="64" t="s">
        <v>13</v>
      </c>
      <c r="J46" s="72" t="e">
        <f t="shared" si="0"/>
        <v>#REF!</v>
      </c>
      <c r="K46" s="114" t="s">
        <v>421</v>
      </c>
      <c r="L46" s="14">
        <v>12247</v>
      </c>
      <c r="M46" s="14" t="s">
        <v>239</v>
      </c>
      <c r="N46" s="30">
        <v>29309090</v>
      </c>
      <c r="O46" s="27">
        <v>913950714357457</v>
      </c>
      <c r="P46" s="89">
        <v>152</v>
      </c>
      <c r="Q46" s="76" t="s">
        <v>13</v>
      </c>
      <c r="R46" s="18" t="s">
        <v>237</v>
      </c>
      <c r="S46" s="97">
        <v>2000</v>
      </c>
      <c r="T46" s="50" t="s">
        <v>240</v>
      </c>
      <c r="U46" s="142">
        <v>235</v>
      </c>
      <c r="V46" s="69" t="s">
        <v>13</v>
      </c>
      <c r="W46" s="74">
        <f t="shared" si="1"/>
        <v>470000</v>
      </c>
      <c r="X46" s="118"/>
      <c r="Y46" s="21">
        <v>12294</v>
      </c>
      <c r="Z46" s="21" t="s">
        <v>241</v>
      </c>
      <c r="AA46" s="30">
        <v>29309090</v>
      </c>
      <c r="AB46" s="27">
        <v>913950714357457</v>
      </c>
      <c r="AC46" s="24" t="e">
        <f t="shared" si="4"/>
        <v>#REF!</v>
      </c>
    </row>
    <row r="47" spans="1:29" ht="44.45" customHeight="1">
      <c r="A47" s="5">
        <v>40</v>
      </c>
      <c r="B47" s="83">
        <v>126.2998</v>
      </c>
      <c r="C47" s="77" t="s">
        <v>89</v>
      </c>
      <c r="D47" s="2" t="s">
        <v>242</v>
      </c>
      <c r="E47" s="19">
        <v>0</v>
      </c>
      <c r="F47" s="50" t="s">
        <v>243</v>
      </c>
      <c r="G47" s="14" t="s">
        <v>244</v>
      </c>
      <c r="H47" s="79">
        <v>860</v>
      </c>
      <c r="I47" s="64" t="s">
        <v>13</v>
      </c>
      <c r="J47" s="72">
        <f t="shared" si="0"/>
        <v>0</v>
      </c>
      <c r="K47" s="15" t="s">
        <v>422</v>
      </c>
      <c r="L47" s="14">
        <v>11439</v>
      </c>
      <c r="M47" s="14" t="s">
        <v>245</v>
      </c>
      <c r="N47" s="16">
        <v>29336990</v>
      </c>
      <c r="O47" s="17">
        <v>913950913271812</v>
      </c>
      <c r="P47" s="89">
        <v>850</v>
      </c>
      <c r="Q47" s="76" t="s">
        <v>93</v>
      </c>
      <c r="R47" s="18" t="s">
        <v>246</v>
      </c>
      <c r="S47" s="97">
        <v>1000</v>
      </c>
      <c r="T47" s="50" t="s">
        <v>247</v>
      </c>
      <c r="U47" s="142">
        <v>850</v>
      </c>
      <c r="V47" s="69" t="s">
        <v>13</v>
      </c>
      <c r="W47" s="74">
        <f t="shared" si="1"/>
        <v>850000</v>
      </c>
      <c r="X47" s="118"/>
      <c r="Y47" s="21">
        <v>12577</v>
      </c>
      <c r="Z47" s="21" t="s">
        <v>248</v>
      </c>
      <c r="AA47" s="22">
        <v>29336990</v>
      </c>
      <c r="AB47" s="17">
        <v>914030722037446</v>
      </c>
      <c r="AC47" s="24">
        <f>U47/880</f>
        <v>0.96590909090909094</v>
      </c>
    </row>
    <row r="48" spans="1:29" ht="28.5" customHeight="1">
      <c r="A48" s="5">
        <v>79</v>
      </c>
      <c r="B48" s="83">
        <v>320</v>
      </c>
      <c r="C48" s="76" t="s">
        <v>13</v>
      </c>
      <c r="D48" s="2" t="s">
        <v>249</v>
      </c>
      <c r="E48" s="97">
        <v>2000</v>
      </c>
      <c r="F48" s="50" t="s">
        <v>250</v>
      </c>
      <c r="G48" s="16">
        <v>325</v>
      </c>
      <c r="H48" s="79" t="e">
        <f>VLOOKUP(L:L,#REF!,2,FALSE)</f>
        <v>#REF!</v>
      </c>
      <c r="I48" s="64" t="s">
        <v>13</v>
      </c>
      <c r="J48" s="72" t="e">
        <f t="shared" si="0"/>
        <v>#REF!</v>
      </c>
      <c r="K48" s="114" t="s">
        <v>419</v>
      </c>
      <c r="L48" s="14">
        <v>11726</v>
      </c>
      <c r="M48" s="14" t="s">
        <v>251</v>
      </c>
      <c r="N48" s="16">
        <v>29415090</v>
      </c>
      <c r="O48" s="17">
        <v>913951202550710</v>
      </c>
      <c r="P48" s="89">
        <v>315</v>
      </c>
      <c r="Q48" s="76" t="s">
        <v>13</v>
      </c>
      <c r="R48" s="18" t="s">
        <v>252</v>
      </c>
      <c r="S48" s="97">
        <v>3000</v>
      </c>
      <c r="T48" s="50" t="s">
        <v>253</v>
      </c>
      <c r="U48" s="143">
        <v>320</v>
      </c>
      <c r="V48" s="69" t="s">
        <v>13</v>
      </c>
      <c r="W48" s="74">
        <f t="shared" si="1"/>
        <v>960000</v>
      </c>
      <c r="X48" s="118"/>
      <c r="Y48" s="21">
        <v>12427</v>
      </c>
      <c r="Z48" s="21" t="s">
        <v>254</v>
      </c>
      <c r="AA48" s="22">
        <v>29415090</v>
      </c>
      <c r="AB48" s="23">
        <v>913951202550710</v>
      </c>
      <c r="AC48" s="24" t="e">
        <f>W48/J48</f>
        <v>#REF!</v>
      </c>
    </row>
    <row r="49" spans="1:30" ht="28.5" customHeight="1">
      <c r="A49" s="5">
        <v>62</v>
      </c>
      <c r="B49" s="83">
        <v>225</v>
      </c>
      <c r="C49" s="76" t="s">
        <v>13</v>
      </c>
      <c r="D49" s="2" t="s">
        <v>255</v>
      </c>
      <c r="E49" s="97">
        <v>3000</v>
      </c>
      <c r="F49" s="50" t="s">
        <v>250</v>
      </c>
      <c r="G49" s="16">
        <v>238</v>
      </c>
      <c r="H49" s="79" t="e">
        <f>VLOOKUP(L:L,#REF!,2,FALSE)</f>
        <v>#REF!</v>
      </c>
      <c r="I49" s="64" t="s">
        <v>13</v>
      </c>
      <c r="J49" s="72" t="e">
        <f t="shared" si="0"/>
        <v>#REF!</v>
      </c>
      <c r="K49" s="114" t="s">
        <v>419</v>
      </c>
      <c r="L49" s="14">
        <v>12482</v>
      </c>
      <c r="M49" s="14" t="s">
        <v>256</v>
      </c>
      <c r="N49" s="16">
        <v>29415090</v>
      </c>
      <c r="O49" s="17">
        <v>913980308455906</v>
      </c>
      <c r="P49" s="89">
        <v>230</v>
      </c>
      <c r="Q49" s="76" t="s">
        <v>13</v>
      </c>
      <c r="R49" s="18" t="s">
        <v>255</v>
      </c>
      <c r="S49" s="97">
        <v>3000</v>
      </c>
      <c r="T49" s="50" t="s">
        <v>257</v>
      </c>
      <c r="U49" s="142">
        <v>230</v>
      </c>
      <c r="V49" s="69" t="s">
        <v>13</v>
      </c>
      <c r="W49" s="74">
        <f t="shared" si="1"/>
        <v>690000</v>
      </c>
      <c r="X49" s="118"/>
      <c r="Y49" s="21">
        <v>12570</v>
      </c>
      <c r="Z49" s="21" t="s">
        <v>258</v>
      </c>
      <c r="AA49" s="22">
        <v>29415090</v>
      </c>
      <c r="AB49" s="23">
        <v>913980308455906</v>
      </c>
      <c r="AC49" s="24" t="e">
        <f>W49/J49</f>
        <v>#REF!</v>
      </c>
    </row>
    <row r="50" spans="1:30" ht="28.5" customHeight="1">
      <c r="A50" s="5">
        <v>28</v>
      </c>
      <c r="B50" s="85">
        <v>158</v>
      </c>
      <c r="C50" s="76" t="s">
        <v>13</v>
      </c>
      <c r="D50" s="2" t="s">
        <v>259</v>
      </c>
      <c r="E50" s="97">
        <v>1000</v>
      </c>
      <c r="F50" s="50" t="s">
        <v>260</v>
      </c>
      <c r="G50" s="80">
        <v>205</v>
      </c>
      <c r="H50" s="79" t="e">
        <f>VLOOKUP(L:L,#REF!,2,FALSE)</f>
        <v>#REF!</v>
      </c>
      <c r="I50" s="64" t="s">
        <v>13</v>
      </c>
      <c r="J50" s="72" t="e">
        <f t="shared" si="0"/>
        <v>#REF!</v>
      </c>
      <c r="K50" s="115"/>
      <c r="L50" s="14">
        <v>11952</v>
      </c>
      <c r="M50" s="14" t="s">
        <v>261</v>
      </c>
      <c r="N50" s="16">
        <v>29362500</v>
      </c>
      <c r="O50" s="17">
        <v>914000409447418</v>
      </c>
      <c r="P50" s="89">
        <v>195</v>
      </c>
      <c r="Q50" s="76" t="s">
        <v>13</v>
      </c>
      <c r="R50" s="2" t="s">
        <v>262</v>
      </c>
      <c r="S50" s="97">
        <v>1000</v>
      </c>
      <c r="T50" s="50" t="s">
        <v>235</v>
      </c>
      <c r="U50" s="142">
        <v>210</v>
      </c>
      <c r="V50" s="69" t="s">
        <v>13</v>
      </c>
      <c r="W50" s="74">
        <f t="shared" si="1"/>
        <v>210000</v>
      </c>
      <c r="X50" s="118"/>
      <c r="Y50" s="21">
        <v>11601</v>
      </c>
      <c r="Z50" s="21" t="s">
        <v>263</v>
      </c>
      <c r="AA50" s="22">
        <v>29362500</v>
      </c>
      <c r="AB50" s="23">
        <v>914000409447418</v>
      </c>
      <c r="AC50" s="24" t="e">
        <f>W50/J50</f>
        <v>#REF!</v>
      </c>
    </row>
    <row r="51" spans="1:30" ht="40.5" customHeight="1">
      <c r="A51" s="5">
        <v>1</v>
      </c>
      <c r="B51" s="86"/>
      <c r="C51" s="54"/>
      <c r="D51" s="105" t="s">
        <v>364</v>
      </c>
      <c r="E51" s="110">
        <v>15000</v>
      </c>
      <c r="F51" s="105" t="s">
        <v>434</v>
      </c>
      <c r="G51" s="111"/>
      <c r="H51" s="111">
        <v>54.8</v>
      </c>
      <c r="I51" s="112"/>
      <c r="J51" s="113"/>
      <c r="K51" s="38" t="s">
        <v>435</v>
      </c>
      <c r="L51" s="14"/>
      <c r="M51" s="14"/>
      <c r="N51" s="14"/>
      <c r="O51" s="32"/>
      <c r="P51" s="89">
        <v>323</v>
      </c>
      <c r="Q51" s="76" t="s">
        <v>13</v>
      </c>
      <c r="R51" s="2" t="s">
        <v>264</v>
      </c>
      <c r="S51" s="103">
        <v>140</v>
      </c>
      <c r="T51" s="51" t="s">
        <v>265</v>
      </c>
      <c r="U51" s="142">
        <v>323</v>
      </c>
      <c r="V51" s="69" t="s">
        <v>13</v>
      </c>
      <c r="W51" s="74">
        <f t="shared" si="1"/>
        <v>45220</v>
      </c>
      <c r="X51" s="118"/>
      <c r="Y51" s="21">
        <v>12337</v>
      </c>
      <c r="Z51" s="21" t="s">
        <v>266</v>
      </c>
      <c r="AA51" s="22">
        <v>29339999</v>
      </c>
      <c r="AB51" s="23">
        <v>913950602575896</v>
      </c>
      <c r="AC51" s="33"/>
    </row>
    <row r="52" spans="1:30" ht="55.5" customHeight="1">
      <c r="A52" s="125">
        <v>2</v>
      </c>
      <c r="B52" s="126">
        <v>478</v>
      </c>
      <c r="C52" s="127"/>
      <c r="D52" s="43" t="s">
        <v>443</v>
      </c>
      <c r="E52" s="42">
        <v>4000</v>
      </c>
      <c r="F52" s="43" t="s">
        <v>444</v>
      </c>
      <c r="G52" s="96"/>
      <c r="H52" s="96">
        <v>483</v>
      </c>
      <c r="I52" s="128"/>
      <c r="J52" s="129"/>
      <c r="K52" s="138" t="s">
        <v>451</v>
      </c>
      <c r="L52" s="14"/>
      <c r="M52" s="14"/>
      <c r="N52" s="14"/>
      <c r="O52" s="32"/>
      <c r="P52" s="89">
        <v>262</v>
      </c>
      <c r="Q52" s="77" t="s">
        <v>267</v>
      </c>
      <c r="R52" s="18" t="s">
        <v>268</v>
      </c>
      <c r="S52" s="103">
        <v>100</v>
      </c>
      <c r="T52" s="50" t="s">
        <v>77</v>
      </c>
      <c r="U52" s="142">
        <v>980</v>
      </c>
      <c r="V52" s="69" t="s">
        <v>93</v>
      </c>
      <c r="W52" s="74">
        <f t="shared" si="1"/>
        <v>98000</v>
      </c>
      <c r="X52" s="118"/>
      <c r="Y52" s="21">
        <v>10804</v>
      </c>
      <c r="Z52" s="21" t="s">
        <v>269</v>
      </c>
      <c r="AA52" s="22">
        <v>29336990</v>
      </c>
      <c r="AB52" s="23">
        <v>914010208383185</v>
      </c>
      <c r="AC52" s="2"/>
    </row>
    <row r="53" spans="1:30" ht="54.95" customHeight="1">
      <c r="A53" s="5">
        <v>3</v>
      </c>
      <c r="B53" s="86"/>
      <c r="C53" s="54"/>
      <c r="D53" s="18"/>
      <c r="E53" s="31"/>
      <c r="F53" s="20"/>
      <c r="G53" s="14"/>
      <c r="H53" s="14"/>
      <c r="I53" s="64"/>
      <c r="J53" s="73" t="e">
        <f>SUM(J3:J50)</f>
        <v>#REF!</v>
      </c>
      <c r="K53" s="34"/>
      <c r="L53" s="14"/>
      <c r="M53" s="14"/>
      <c r="N53" s="14"/>
      <c r="O53" s="32"/>
      <c r="P53" s="89">
        <v>38</v>
      </c>
      <c r="Q53" s="76" t="s">
        <v>13</v>
      </c>
      <c r="R53" s="2" t="s">
        <v>270</v>
      </c>
      <c r="S53" s="103">
        <v>1000</v>
      </c>
      <c r="T53" s="50" t="s">
        <v>271</v>
      </c>
      <c r="U53" s="144" t="s">
        <v>439</v>
      </c>
      <c r="V53" s="69" t="s">
        <v>13</v>
      </c>
      <c r="W53" s="74" t="e">
        <f t="shared" si="1"/>
        <v>#VALUE!</v>
      </c>
      <c r="X53" s="119" t="s">
        <v>53</v>
      </c>
      <c r="Y53" s="21">
        <v>12034</v>
      </c>
      <c r="Z53" s="21" t="s">
        <v>272</v>
      </c>
      <c r="AA53" s="22">
        <v>29181100</v>
      </c>
      <c r="AB53" s="23">
        <v>913990919196705</v>
      </c>
      <c r="AC53" s="2"/>
      <c r="AD53" s="120" t="s">
        <v>440</v>
      </c>
    </row>
    <row r="54" spans="1:30" ht="28.5" customHeight="1">
      <c r="A54" s="5">
        <v>4</v>
      </c>
      <c r="B54" s="86"/>
      <c r="C54" s="54"/>
      <c r="D54" s="18"/>
      <c r="E54" s="31"/>
      <c r="F54" s="20"/>
      <c r="G54" s="14"/>
      <c r="H54" s="14"/>
      <c r="I54" s="64"/>
      <c r="J54" s="73"/>
      <c r="K54" s="34"/>
      <c r="L54" s="14"/>
      <c r="M54" s="14"/>
      <c r="N54" s="14"/>
      <c r="O54" s="32"/>
      <c r="P54" s="91">
        <v>58</v>
      </c>
      <c r="Q54" s="76" t="s">
        <v>93</v>
      </c>
      <c r="R54" s="2" t="s">
        <v>273</v>
      </c>
      <c r="S54" s="103">
        <v>2160</v>
      </c>
      <c r="T54" s="50" t="s">
        <v>274</v>
      </c>
      <c r="U54" s="142">
        <v>50</v>
      </c>
      <c r="V54" s="69" t="s">
        <v>52</v>
      </c>
      <c r="W54" s="74">
        <f t="shared" si="1"/>
        <v>108000</v>
      </c>
      <c r="X54" s="119" t="s">
        <v>53</v>
      </c>
      <c r="Y54" s="21">
        <v>12007</v>
      </c>
      <c r="Z54" s="21" t="s">
        <v>275</v>
      </c>
      <c r="AA54" s="22">
        <v>33012990</v>
      </c>
      <c r="AB54" s="23">
        <v>913950907199670</v>
      </c>
      <c r="AC54" s="35" t="s">
        <v>53</v>
      </c>
    </row>
    <row r="55" spans="1:30" ht="28.5" customHeight="1">
      <c r="A55" s="5">
        <v>5</v>
      </c>
      <c r="B55" s="86"/>
      <c r="C55" s="54"/>
      <c r="D55" s="2"/>
      <c r="E55" s="19"/>
      <c r="F55" s="10"/>
      <c r="G55" s="14"/>
      <c r="H55" s="14"/>
      <c r="I55" s="64"/>
      <c r="J55" s="72"/>
      <c r="K55" s="4"/>
      <c r="L55" s="14"/>
      <c r="M55" s="14"/>
      <c r="N55" s="14"/>
      <c r="O55" s="32"/>
      <c r="P55" s="89">
        <v>9.3000000000000007</v>
      </c>
      <c r="Q55" s="76" t="s">
        <v>13</v>
      </c>
      <c r="R55" s="2" t="s">
        <v>276</v>
      </c>
      <c r="S55" s="103">
        <v>5000</v>
      </c>
      <c r="T55" s="50" t="s">
        <v>277</v>
      </c>
      <c r="U55" s="143">
        <v>9.4</v>
      </c>
      <c r="V55" s="69"/>
      <c r="W55" s="74">
        <f t="shared" si="1"/>
        <v>47000</v>
      </c>
      <c r="X55" s="118"/>
      <c r="Y55" s="21">
        <v>12032</v>
      </c>
      <c r="Z55" s="21" t="s">
        <v>278</v>
      </c>
      <c r="AA55" s="22">
        <v>29121900</v>
      </c>
      <c r="AB55" s="27">
        <v>913990720300360</v>
      </c>
      <c r="AC55" s="2"/>
    </row>
    <row r="56" spans="1:30" ht="28.5" customHeight="1">
      <c r="A56" s="5">
        <v>6</v>
      </c>
      <c r="B56" s="86"/>
      <c r="C56" s="54"/>
      <c r="D56" s="2"/>
      <c r="E56" s="19"/>
      <c r="F56" s="10"/>
      <c r="G56" s="14"/>
      <c r="H56" s="14"/>
      <c r="I56" s="64"/>
      <c r="J56" s="72"/>
      <c r="K56" s="4"/>
      <c r="L56" s="14"/>
      <c r="M56" s="14"/>
      <c r="N56" s="14"/>
      <c r="O56" s="32"/>
      <c r="P56" s="92">
        <v>94</v>
      </c>
      <c r="Q56" s="76" t="s">
        <v>13</v>
      </c>
      <c r="R56" s="18" t="s">
        <v>279</v>
      </c>
      <c r="S56" s="103">
        <v>1000</v>
      </c>
      <c r="T56" s="50" t="s">
        <v>280</v>
      </c>
      <c r="U56" s="142">
        <v>94</v>
      </c>
      <c r="V56" s="69" t="s">
        <v>13</v>
      </c>
      <c r="W56" s="74">
        <f t="shared" si="1"/>
        <v>94000</v>
      </c>
      <c r="X56" s="118"/>
      <c r="Y56" s="21">
        <v>12616</v>
      </c>
      <c r="Z56" s="21" t="s">
        <v>281</v>
      </c>
      <c r="AA56" s="22">
        <v>29359030</v>
      </c>
      <c r="AB56" s="27">
        <v>913971129851723</v>
      </c>
      <c r="AC56" s="2"/>
    </row>
    <row r="57" spans="1:30" ht="28.5" customHeight="1">
      <c r="A57" s="5">
        <v>7</v>
      </c>
      <c r="B57" s="86"/>
      <c r="C57" s="54"/>
      <c r="D57" s="2"/>
      <c r="E57" s="19"/>
      <c r="F57" s="10"/>
      <c r="G57" s="14"/>
      <c r="H57" s="14"/>
      <c r="I57" s="64"/>
      <c r="J57" s="72"/>
      <c r="K57" s="4"/>
      <c r="L57" s="14"/>
      <c r="M57" s="14"/>
      <c r="N57" s="14"/>
      <c r="O57" s="32"/>
      <c r="P57" s="92">
        <v>18</v>
      </c>
      <c r="Q57" s="76" t="s">
        <v>13</v>
      </c>
      <c r="R57" s="18" t="s">
        <v>282</v>
      </c>
      <c r="S57" s="103">
        <v>5000</v>
      </c>
      <c r="T57" s="50" t="s">
        <v>283</v>
      </c>
      <c r="U57" s="142">
        <v>18</v>
      </c>
      <c r="V57" s="69" t="s">
        <v>13</v>
      </c>
      <c r="W57" s="74">
        <f t="shared" si="1"/>
        <v>90000</v>
      </c>
      <c r="X57" s="118"/>
      <c r="Y57" s="21">
        <v>11989</v>
      </c>
      <c r="Z57" s="21" t="s">
        <v>284</v>
      </c>
      <c r="AA57" s="22">
        <v>28332100</v>
      </c>
      <c r="AB57" s="23">
        <v>914000408406241</v>
      </c>
      <c r="AC57" s="2"/>
    </row>
    <row r="58" spans="1:30" ht="28.5" customHeight="1">
      <c r="A58" s="5">
        <v>8</v>
      </c>
      <c r="B58" s="86"/>
      <c r="C58" s="54"/>
      <c r="D58" s="2"/>
      <c r="E58" s="19"/>
      <c r="F58" s="10"/>
      <c r="G58" s="14"/>
      <c r="H58" s="14"/>
      <c r="I58" s="64"/>
      <c r="J58" s="72"/>
      <c r="K58" s="4"/>
      <c r="L58" s="14"/>
      <c r="M58" s="14"/>
      <c r="N58" s="14"/>
      <c r="O58" s="32"/>
      <c r="P58" s="92">
        <v>250</v>
      </c>
      <c r="Q58" s="77" t="s">
        <v>267</v>
      </c>
      <c r="R58" s="18" t="s">
        <v>285</v>
      </c>
      <c r="S58" s="103">
        <v>200</v>
      </c>
      <c r="T58" s="50" t="s">
        <v>286</v>
      </c>
      <c r="U58" s="143">
        <v>1950</v>
      </c>
      <c r="V58" s="69" t="s">
        <v>13</v>
      </c>
      <c r="W58" s="74">
        <f t="shared" si="1"/>
        <v>390000</v>
      </c>
      <c r="X58" s="118"/>
      <c r="Y58" s="21">
        <v>10383</v>
      </c>
      <c r="Z58" s="21" t="s">
        <v>287</v>
      </c>
      <c r="AA58" s="22">
        <v>29419090</v>
      </c>
      <c r="AB58" s="23">
        <v>913960928011050</v>
      </c>
      <c r="AC58" s="2"/>
    </row>
    <row r="59" spans="1:30" ht="28.5" customHeight="1">
      <c r="A59" s="5">
        <v>9</v>
      </c>
      <c r="B59" s="86"/>
      <c r="C59" s="54"/>
      <c r="D59" s="2"/>
      <c r="E59" s="19"/>
      <c r="F59" s="10"/>
      <c r="G59" s="14"/>
      <c r="H59" s="14"/>
      <c r="I59" s="64"/>
      <c r="J59" s="72"/>
      <c r="K59" s="4"/>
      <c r="L59" s="14"/>
      <c r="M59" s="14"/>
      <c r="N59" s="14"/>
      <c r="O59" s="32"/>
      <c r="P59" s="89">
        <v>1195</v>
      </c>
      <c r="Q59" s="76" t="s">
        <v>93</v>
      </c>
      <c r="R59" s="18" t="s">
        <v>288</v>
      </c>
      <c r="S59" s="103">
        <v>100</v>
      </c>
      <c r="T59" s="51" t="s">
        <v>289</v>
      </c>
      <c r="U59" s="142">
        <v>1195</v>
      </c>
      <c r="V59" s="69" t="s">
        <v>93</v>
      </c>
      <c r="W59" s="74">
        <f t="shared" si="1"/>
        <v>119500</v>
      </c>
      <c r="X59" s="118"/>
      <c r="Y59" s="21">
        <v>12429</v>
      </c>
      <c r="Z59" s="21" t="s">
        <v>290</v>
      </c>
      <c r="AA59" s="22">
        <v>29420090</v>
      </c>
      <c r="AB59" s="23">
        <v>913980717318600</v>
      </c>
      <c r="AC59" s="2"/>
    </row>
    <row r="60" spans="1:30" ht="28.5" customHeight="1">
      <c r="A60" s="5">
        <v>10</v>
      </c>
      <c r="B60" s="86"/>
      <c r="C60" s="54"/>
      <c r="D60" s="2"/>
      <c r="E60" s="19"/>
      <c r="F60" s="10"/>
      <c r="G60" s="14"/>
      <c r="H60" s="14"/>
      <c r="I60" s="64"/>
      <c r="J60" s="72"/>
      <c r="K60" s="4"/>
      <c r="L60" s="14"/>
      <c r="M60" s="14"/>
      <c r="N60" s="14"/>
      <c r="O60" s="32"/>
      <c r="P60" s="92">
        <v>49</v>
      </c>
      <c r="Q60" s="76" t="s">
        <v>13</v>
      </c>
      <c r="R60" s="18" t="s">
        <v>291</v>
      </c>
      <c r="S60" s="97">
        <v>1200</v>
      </c>
      <c r="T60" s="50" t="s">
        <v>292</v>
      </c>
      <c r="U60" s="142">
        <v>49</v>
      </c>
      <c r="V60" s="69" t="s">
        <v>13</v>
      </c>
      <c r="W60" s="74">
        <f t="shared" si="1"/>
        <v>58800</v>
      </c>
      <c r="X60" s="119" t="s">
        <v>53</v>
      </c>
      <c r="Y60" s="21">
        <v>12012</v>
      </c>
      <c r="Z60" s="21" t="s">
        <v>293</v>
      </c>
      <c r="AA60" s="22">
        <v>38089419</v>
      </c>
      <c r="AB60" s="23">
        <v>913951026563949</v>
      </c>
      <c r="AC60" s="10"/>
    </row>
    <row r="61" spans="1:30" ht="28.5" customHeight="1">
      <c r="A61" s="5">
        <v>11</v>
      </c>
      <c r="B61" s="86"/>
      <c r="C61" s="54"/>
      <c r="D61" s="2"/>
      <c r="E61" s="19"/>
      <c r="F61" s="10"/>
      <c r="G61" s="14"/>
      <c r="H61" s="14"/>
      <c r="I61" s="64"/>
      <c r="J61" s="72"/>
      <c r="K61" s="4"/>
      <c r="L61" s="14"/>
      <c r="M61" s="14"/>
      <c r="N61" s="14"/>
      <c r="O61" s="32"/>
      <c r="P61" s="89">
        <v>58</v>
      </c>
      <c r="Q61" s="76" t="s">
        <v>13</v>
      </c>
      <c r="R61" s="18" t="s">
        <v>294</v>
      </c>
      <c r="S61" s="103">
        <v>2220</v>
      </c>
      <c r="T61" s="50" t="s">
        <v>295</v>
      </c>
      <c r="U61" s="142">
        <v>65</v>
      </c>
      <c r="V61" s="69" t="s">
        <v>13</v>
      </c>
      <c r="W61" s="74">
        <f t="shared" si="1"/>
        <v>144300</v>
      </c>
      <c r="X61" s="118"/>
      <c r="Y61" s="21">
        <v>12312</v>
      </c>
      <c r="Z61" s="21" t="s">
        <v>296</v>
      </c>
      <c r="AA61" s="22">
        <v>29061900</v>
      </c>
      <c r="AB61" s="23">
        <v>913950915760282</v>
      </c>
      <c r="AC61" s="10"/>
    </row>
    <row r="62" spans="1:30" ht="28.5" customHeight="1">
      <c r="A62" s="5">
        <v>12</v>
      </c>
      <c r="B62" s="86"/>
      <c r="C62" s="54"/>
      <c r="D62" s="2"/>
      <c r="E62" s="19"/>
      <c r="F62" s="10"/>
      <c r="G62" s="14"/>
      <c r="H62" s="14"/>
      <c r="I62" s="64"/>
      <c r="J62" s="72"/>
      <c r="K62" s="4"/>
      <c r="L62" s="14"/>
      <c r="M62" s="14"/>
      <c r="N62" s="14"/>
      <c r="O62" s="32"/>
      <c r="P62" s="89">
        <v>20</v>
      </c>
      <c r="Q62" s="76" t="s">
        <v>13</v>
      </c>
      <c r="R62" s="18" t="s">
        <v>297</v>
      </c>
      <c r="S62" s="97">
        <v>6000</v>
      </c>
      <c r="T62" s="50" t="s">
        <v>298</v>
      </c>
      <c r="U62" s="142">
        <v>14</v>
      </c>
      <c r="V62" s="69" t="s">
        <v>13</v>
      </c>
      <c r="W62" s="74">
        <f t="shared" si="1"/>
        <v>84000</v>
      </c>
      <c r="X62" s="118"/>
      <c r="Y62" s="21">
        <v>11982</v>
      </c>
      <c r="Z62" s="21" t="s">
        <v>299</v>
      </c>
      <c r="AA62" s="22">
        <v>29224990</v>
      </c>
      <c r="AB62" s="23">
        <v>913980501491553</v>
      </c>
      <c r="AC62" s="10"/>
    </row>
    <row r="63" spans="1:30" ht="28.5" customHeight="1">
      <c r="A63" s="5">
        <v>13</v>
      </c>
      <c r="B63" s="86"/>
      <c r="C63" s="54"/>
      <c r="D63" s="2"/>
      <c r="E63" s="19"/>
      <c r="F63" s="10"/>
      <c r="G63" s="14"/>
      <c r="H63" s="14"/>
      <c r="I63" s="64"/>
      <c r="J63" s="72"/>
      <c r="K63" s="4"/>
      <c r="L63" s="14"/>
      <c r="M63" s="14"/>
      <c r="N63" s="14"/>
      <c r="O63" s="32"/>
      <c r="P63" s="89">
        <v>128</v>
      </c>
      <c r="Q63" s="76" t="s">
        <v>13</v>
      </c>
      <c r="R63" s="18" t="s">
        <v>300</v>
      </c>
      <c r="S63" s="103">
        <v>1000</v>
      </c>
      <c r="T63" s="50" t="s">
        <v>301</v>
      </c>
      <c r="U63" s="142">
        <v>14</v>
      </c>
      <c r="V63" s="69" t="s">
        <v>302</v>
      </c>
      <c r="W63" s="74">
        <f t="shared" si="1"/>
        <v>14000</v>
      </c>
      <c r="X63" s="119" t="s">
        <v>53</v>
      </c>
      <c r="Y63" s="21">
        <v>12095</v>
      </c>
      <c r="Z63" s="21" t="s">
        <v>303</v>
      </c>
      <c r="AA63" s="36"/>
      <c r="AB63" s="23">
        <v>913981009029240</v>
      </c>
      <c r="AC63" s="10"/>
    </row>
    <row r="64" spans="1:30" ht="28.5" customHeight="1">
      <c r="A64" s="5">
        <v>14</v>
      </c>
      <c r="B64" s="86"/>
      <c r="C64" s="54"/>
      <c r="D64" s="2"/>
      <c r="E64" s="19"/>
      <c r="F64" s="10"/>
      <c r="G64" s="14"/>
      <c r="H64" s="14"/>
      <c r="I64" s="64"/>
      <c r="J64" s="72"/>
      <c r="K64" s="4"/>
      <c r="L64" s="14"/>
      <c r="M64" s="14"/>
      <c r="N64" s="14"/>
      <c r="O64" s="32"/>
      <c r="P64" s="89">
        <v>88</v>
      </c>
      <c r="Q64" s="76" t="s">
        <v>13</v>
      </c>
      <c r="R64" s="18" t="s">
        <v>304</v>
      </c>
      <c r="S64" s="97">
        <v>4000</v>
      </c>
      <c r="T64" s="50" t="s">
        <v>305</v>
      </c>
      <c r="U64" s="142">
        <v>89</v>
      </c>
      <c r="V64" s="69" t="s">
        <v>13</v>
      </c>
      <c r="W64" s="74">
        <f t="shared" si="1"/>
        <v>356000</v>
      </c>
      <c r="X64" s="118"/>
      <c r="Y64" s="21">
        <v>12421</v>
      </c>
      <c r="Z64" s="21" t="s">
        <v>306</v>
      </c>
      <c r="AA64" s="22">
        <v>13021900</v>
      </c>
      <c r="AB64" s="23">
        <v>913950705180200</v>
      </c>
      <c r="AC64" s="10"/>
    </row>
    <row r="65" spans="1:30" ht="28.5" customHeight="1">
      <c r="A65" s="5">
        <v>15</v>
      </c>
      <c r="B65" s="86"/>
      <c r="C65" s="54"/>
      <c r="D65" s="2"/>
      <c r="E65" s="19"/>
      <c r="F65" s="10"/>
      <c r="G65" s="14"/>
      <c r="H65" s="14"/>
      <c r="I65" s="64"/>
      <c r="J65" s="72"/>
      <c r="K65" s="4"/>
      <c r="L65" s="14"/>
      <c r="M65" s="14"/>
      <c r="N65" s="14"/>
      <c r="O65" s="32"/>
      <c r="P65" s="89">
        <v>382.5</v>
      </c>
      <c r="Q65" s="76" t="s">
        <v>13</v>
      </c>
      <c r="R65" s="18" t="s">
        <v>307</v>
      </c>
      <c r="S65" s="97">
        <v>1000</v>
      </c>
      <c r="T65" s="50" t="s">
        <v>308</v>
      </c>
      <c r="U65" s="142">
        <v>230</v>
      </c>
      <c r="V65" s="69" t="s">
        <v>13</v>
      </c>
      <c r="W65" s="74">
        <f t="shared" si="1"/>
        <v>230000</v>
      </c>
      <c r="X65" s="118"/>
      <c r="Y65" s="21">
        <v>8351</v>
      </c>
      <c r="Z65" s="21" t="s">
        <v>309</v>
      </c>
      <c r="AA65" s="22">
        <v>29362100</v>
      </c>
      <c r="AB65" s="27">
        <v>913970410000101</v>
      </c>
      <c r="AC65" s="10"/>
    </row>
    <row r="66" spans="1:30" ht="28.5" customHeight="1">
      <c r="A66" s="5">
        <v>16</v>
      </c>
      <c r="B66" s="86"/>
      <c r="C66" s="54"/>
      <c r="D66" s="2"/>
      <c r="E66" s="19"/>
      <c r="F66" s="10"/>
      <c r="G66" s="14"/>
      <c r="H66" s="14"/>
      <c r="I66" s="64"/>
      <c r="J66" s="72"/>
      <c r="K66" s="4"/>
      <c r="L66" s="14"/>
      <c r="M66" s="14"/>
      <c r="N66" s="14"/>
      <c r="O66" s="32"/>
      <c r="P66" s="89">
        <v>24</v>
      </c>
      <c r="Q66" s="76" t="s">
        <v>13</v>
      </c>
      <c r="R66" s="18" t="s">
        <v>310</v>
      </c>
      <c r="S66" s="97">
        <v>6000</v>
      </c>
      <c r="T66" s="50" t="s">
        <v>311</v>
      </c>
      <c r="U66" s="142">
        <v>24</v>
      </c>
      <c r="V66" s="69" t="s">
        <v>13</v>
      </c>
      <c r="W66" s="74">
        <f t="shared" si="1"/>
        <v>144000</v>
      </c>
      <c r="X66" s="118"/>
      <c r="Y66" s="21">
        <v>12316</v>
      </c>
      <c r="Z66" s="21" t="s">
        <v>312</v>
      </c>
      <c r="AA66" s="22">
        <v>29362990</v>
      </c>
      <c r="AB66" s="23">
        <v>913950811772021</v>
      </c>
      <c r="AC66" s="10"/>
    </row>
    <row r="67" spans="1:30" ht="28.5" customHeight="1">
      <c r="A67" s="5">
        <v>17</v>
      </c>
      <c r="B67" s="86"/>
      <c r="C67" s="54"/>
      <c r="D67" s="2"/>
      <c r="E67" s="19"/>
      <c r="F67" s="10"/>
      <c r="G67" s="14"/>
      <c r="H67" s="14"/>
      <c r="I67" s="64"/>
      <c r="J67" s="72"/>
      <c r="K67" s="4"/>
      <c r="L67" s="14"/>
      <c r="M67" s="14"/>
      <c r="N67" s="14"/>
      <c r="O67" s="32"/>
      <c r="P67" s="89">
        <v>6.8</v>
      </c>
      <c r="Q67" s="76" t="s">
        <v>13</v>
      </c>
      <c r="R67" s="18" t="s">
        <v>313</v>
      </c>
      <c r="S67" s="97">
        <v>20000</v>
      </c>
      <c r="T67" s="50" t="s">
        <v>314</v>
      </c>
      <c r="U67" s="142">
        <v>5.8</v>
      </c>
      <c r="V67" s="69" t="s">
        <v>13</v>
      </c>
      <c r="W67" s="74">
        <f t="shared" si="1"/>
        <v>116000</v>
      </c>
      <c r="X67" s="118"/>
      <c r="Y67" s="21">
        <v>12315</v>
      </c>
      <c r="Z67" s="21" t="s">
        <v>315</v>
      </c>
      <c r="AA67" s="22">
        <v>29231010</v>
      </c>
      <c r="AB67" s="23">
        <v>913951201392158</v>
      </c>
      <c r="AC67" s="10"/>
    </row>
    <row r="68" spans="1:30" ht="28.5" customHeight="1">
      <c r="A68" s="5">
        <v>19</v>
      </c>
      <c r="B68" s="86"/>
      <c r="C68" s="54"/>
      <c r="D68" s="2"/>
      <c r="E68" s="19"/>
      <c r="F68" s="10"/>
      <c r="G68" s="14"/>
      <c r="H68" s="14"/>
      <c r="I68" s="64"/>
      <c r="J68" s="72"/>
      <c r="K68" s="4"/>
      <c r="L68" s="14"/>
      <c r="M68" s="14"/>
      <c r="N68" s="14"/>
      <c r="O68" s="32"/>
      <c r="P68" s="93">
        <v>0.26</v>
      </c>
      <c r="Q68" s="76" t="s">
        <v>13</v>
      </c>
      <c r="R68" s="2" t="s">
        <v>316</v>
      </c>
      <c r="S68" s="97">
        <v>607200</v>
      </c>
      <c r="T68" s="51" t="s">
        <v>317</v>
      </c>
      <c r="U68" s="142">
        <v>0.26</v>
      </c>
      <c r="V68" s="69" t="s">
        <v>318</v>
      </c>
      <c r="W68" s="74">
        <f t="shared" ref="W68:W95" si="5">S68*U68</f>
        <v>157872</v>
      </c>
      <c r="X68" s="118"/>
      <c r="Y68" s="21">
        <v>12045</v>
      </c>
      <c r="Z68" s="21" t="s">
        <v>319</v>
      </c>
      <c r="AA68" s="22">
        <v>70101010</v>
      </c>
      <c r="AB68" s="23">
        <v>5532247519</v>
      </c>
      <c r="AC68" s="10"/>
    </row>
    <row r="69" spans="1:30" ht="28.5" customHeight="1">
      <c r="A69" s="5">
        <v>20</v>
      </c>
      <c r="B69" s="86"/>
      <c r="C69" s="54"/>
      <c r="D69" s="2"/>
      <c r="E69" s="19"/>
      <c r="F69" s="10"/>
      <c r="G69" s="14"/>
      <c r="H69" s="14"/>
      <c r="I69" s="64"/>
      <c r="J69" s="72"/>
      <c r="K69" s="4"/>
      <c r="L69" s="14"/>
      <c r="M69" s="14"/>
      <c r="N69" s="14"/>
      <c r="O69" s="32"/>
      <c r="P69" s="89">
        <v>112</v>
      </c>
      <c r="Q69" s="76" t="s">
        <v>13</v>
      </c>
      <c r="R69" s="2" t="s">
        <v>320</v>
      </c>
      <c r="S69" s="97">
        <v>2000</v>
      </c>
      <c r="T69" s="50" t="s">
        <v>321</v>
      </c>
      <c r="U69" s="142">
        <v>112</v>
      </c>
      <c r="V69" s="69" t="s">
        <v>13</v>
      </c>
      <c r="W69" s="74">
        <f t="shared" si="5"/>
        <v>224000</v>
      </c>
      <c r="X69" s="118"/>
      <c r="Y69" s="21">
        <v>12000</v>
      </c>
      <c r="Z69" s="21" t="s">
        <v>322</v>
      </c>
      <c r="AA69" s="22">
        <v>13021900</v>
      </c>
      <c r="AB69" s="23">
        <v>913980720863749</v>
      </c>
      <c r="AC69" s="10"/>
    </row>
    <row r="70" spans="1:30" ht="28.5" customHeight="1">
      <c r="A70" s="5">
        <v>21</v>
      </c>
      <c r="B70" s="86"/>
      <c r="C70" s="54"/>
      <c r="D70" s="2"/>
      <c r="E70" s="19"/>
      <c r="F70" s="10"/>
      <c r="G70" s="14"/>
      <c r="H70" s="14"/>
      <c r="I70" s="64"/>
      <c r="J70" s="72"/>
      <c r="K70" s="4"/>
      <c r="L70" s="14"/>
      <c r="M70" s="14"/>
      <c r="N70" s="14"/>
      <c r="O70" s="32"/>
      <c r="P70" s="89">
        <v>45</v>
      </c>
      <c r="Q70" s="76" t="s">
        <v>13</v>
      </c>
      <c r="R70" s="18" t="s">
        <v>323</v>
      </c>
      <c r="S70" s="97">
        <v>4000</v>
      </c>
      <c r="T70" s="50" t="s">
        <v>292</v>
      </c>
      <c r="U70" s="142">
        <v>45</v>
      </c>
      <c r="V70" s="69" t="s">
        <v>13</v>
      </c>
      <c r="W70" s="74">
        <f t="shared" si="5"/>
        <v>180000</v>
      </c>
      <c r="X70" s="119" t="s">
        <v>53</v>
      </c>
      <c r="Y70" s="21">
        <v>12014</v>
      </c>
      <c r="Z70" s="21" t="s">
        <v>324</v>
      </c>
      <c r="AA70" s="22">
        <v>38089419</v>
      </c>
      <c r="AB70" s="23">
        <v>913960307516078</v>
      </c>
      <c r="AC70" s="10"/>
      <c r="AD70" t="s">
        <v>441</v>
      </c>
    </row>
    <row r="71" spans="1:30" ht="28.5" customHeight="1">
      <c r="A71" s="5">
        <v>22</v>
      </c>
      <c r="B71" s="86"/>
      <c r="C71" s="54"/>
      <c r="D71" s="2"/>
      <c r="E71" s="19"/>
      <c r="F71" s="10"/>
      <c r="G71" s="14"/>
      <c r="H71" s="14"/>
      <c r="I71" s="64"/>
      <c r="J71" s="72"/>
      <c r="K71" s="4"/>
      <c r="L71" s="14"/>
      <c r="M71" s="14"/>
      <c r="N71" s="14"/>
      <c r="O71" s="32"/>
      <c r="P71" s="89">
        <v>285</v>
      </c>
      <c r="Q71" s="76" t="s">
        <v>13</v>
      </c>
      <c r="R71" s="2" t="s">
        <v>325</v>
      </c>
      <c r="S71" s="97">
        <v>1500</v>
      </c>
      <c r="T71" s="50" t="s">
        <v>51</v>
      </c>
      <c r="U71" s="142">
        <v>285</v>
      </c>
      <c r="V71" s="69" t="s">
        <v>13</v>
      </c>
      <c r="W71" s="74">
        <f t="shared" si="5"/>
        <v>427500</v>
      </c>
      <c r="X71" s="118"/>
      <c r="Y71" s="21">
        <v>12446</v>
      </c>
      <c r="Z71" s="21" t="s">
        <v>326</v>
      </c>
      <c r="AA71" s="22">
        <v>29419090</v>
      </c>
      <c r="AB71" s="27">
        <v>913971103509360</v>
      </c>
      <c r="AC71" s="10"/>
    </row>
    <row r="72" spans="1:30" ht="55.5" customHeight="1">
      <c r="A72" s="5">
        <v>23</v>
      </c>
      <c r="B72" s="86"/>
      <c r="C72" s="54"/>
      <c r="D72" s="2"/>
      <c r="E72" s="19"/>
      <c r="F72" s="10"/>
      <c r="G72" s="14"/>
      <c r="H72" s="14"/>
      <c r="I72" s="64"/>
      <c r="J72" s="72"/>
      <c r="K72" s="4"/>
      <c r="L72" s="14"/>
      <c r="M72" s="14"/>
      <c r="N72" s="14"/>
      <c r="O72" s="32"/>
      <c r="P72" s="89">
        <v>146</v>
      </c>
      <c r="Q72" s="77" t="s">
        <v>267</v>
      </c>
      <c r="R72" s="2" t="s">
        <v>327</v>
      </c>
      <c r="S72" s="97">
        <v>300</v>
      </c>
      <c r="T72" s="50" t="s">
        <v>107</v>
      </c>
      <c r="U72" s="142">
        <v>900</v>
      </c>
      <c r="V72" s="69" t="s">
        <v>13</v>
      </c>
      <c r="W72" s="74">
        <f t="shared" si="5"/>
        <v>270000</v>
      </c>
      <c r="X72" s="118"/>
      <c r="Y72" s="21">
        <v>10623</v>
      </c>
      <c r="Z72" s="21" t="s">
        <v>328</v>
      </c>
      <c r="AA72" s="22">
        <v>29332990</v>
      </c>
      <c r="AB72" s="23">
        <v>913950808141795</v>
      </c>
      <c r="AC72" s="10"/>
      <c r="AD72" s="124" t="s">
        <v>442</v>
      </c>
    </row>
    <row r="73" spans="1:30" ht="28.5" customHeight="1">
      <c r="A73" s="5">
        <v>24</v>
      </c>
      <c r="B73" s="86"/>
      <c r="C73" s="54"/>
      <c r="D73" s="2"/>
      <c r="E73" s="19"/>
      <c r="F73" s="10"/>
      <c r="G73" s="14"/>
      <c r="H73" s="14"/>
      <c r="I73" s="64"/>
      <c r="J73" s="72"/>
      <c r="K73" s="4"/>
      <c r="L73" s="14"/>
      <c r="M73" s="14"/>
      <c r="N73" s="14"/>
      <c r="O73" s="32"/>
      <c r="P73" s="89">
        <v>11000</v>
      </c>
      <c r="Q73" s="76" t="s">
        <v>93</v>
      </c>
      <c r="R73" s="2" t="s">
        <v>329</v>
      </c>
      <c r="S73" s="97">
        <v>100</v>
      </c>
      <c r="T73" s="50" t="s">
        <v>330</v>
      </c>
      <c r="U73" s="142">
        <v>9500</v>
      </c>
      <c r="V73" s="69" t="s">
        <v>93</v>
      </c>
      <c r="W73" s="74">
        <f t="shared" si="5"/>
        <v>950000</v>
      </c>
      <c r="X73" s="118"/>
      <c r="Y73" s="21">
        <v>11975</v>
      </c>
      <c r="Z73" s="21" t="s">
        <v>331</v>
      </c>
      <c r="AA73" s="22">
        <v>29419090</v>
      </c>
      <c r="AB73" s="23">
        <v>913990612658115</v>
      </c>
      <c r="AC73" s="10"/>
    </row>
    <row r="74" spans="1:30" ht="35.450000000000003" customHeight="1">
      <c r="A74" s="5">
        <v>25</v>
      </c>
      <c r="B74" s="86"/>
      <c r="C74" s="54"/>
      <c r="D74" s="2"/>
      <c r="E74" s="19"/>
      <c r="F74" s="10"/>
      <c r="G74" s="14"/>
      <c r="H74" s="14"/>
      <c r="I74" s="64"/>
      <c r="J74" s="72"/>
      <c r="K74" s="4"/>
      <c r="L74" s="14"/>
      <c r="M74" s="14"/>
      <c r="N74" s="14"/>
      <c r="O74" s="32"/>
      <c r="P74" s="89">
        <v>12000</v>
      </c>
      <c r="Q74" s="76" t="s">
        <v>13</v>
      </c>
      <c r="R74" s="2" t="s">
        <v>332</v>
      </c>
      <c r="S74" s="97">
        <v>100</v>
      </c>
      <c r="T74" s="50" t="s">
        <v>333</v>
      </c>
      <c r="U74" s="142">
        <v>6700</v>
      </c>
      <c r="V74" s="69" t="s">
        <v>93</v>
      </c>
      <c r="W74" s="74">
        <f t="shared" si="5"/>
        <v>670000</v>
      </c>
      <c r="X74" s="119" t="s">
        <v>53</v>
      </c>
      <c r="Y74" s="21">
        <v>10053</v>
      </c>
      <c r="Z74" s="21" t="s">
        <v>334</v>
      </c>
      <c r="AA74" s="22">
        <v>29419090</v>
      </c>
      <c r="AB74" s="23">
        <v>913980926090465</v>
      </c>
      <c r="AC74" s="10"/>
    </row>
    <row r="75" spans="1:30" ht="28.5" customHeight="1">
      <c r="A75" s="5">
        <v>26</v>
      </c>
      <c r="B75" s="86"/>
      <c r="C75" s="54"/>
      <c r="D75" s="2"/>
      <c r="E75" s="19"/>
      <c r="F75" s="10"/>
      <c r="G75" s="14"/>
      <c r="H75" s="14"/>
      <c r="I75" s="64"/>
      <c r="J75" s="72"/>
      <c r="K75" s="4"/>
      <c r="L75" s="14"/>
      <c r="M75" s="14"/>
      <c r="N75" s="14"/>
      <c r="O75" s="32"/>
      <c r="P75" s="89">
        <v>1390</v>
      </c>
      <c r="Q75" s="76" t="s">
        <v>93</v>
      </c>
      <c r="R75" s="2" t="s">
        <v>335</v>
      </c>
      <c r="S75" s="97">
        <v>300</v>
      </c>
      <c r="T75" s="50" t="s">
        <v>141</v>
      </c>
      <c r="U75" s="142">
        <v>1420</v>
      </c>
      <c r="V75" s="69" t="s">
        <v>93</v>
      </c>
      <c r="W75" s="74">
        <f t="shared" si="5"/>
        <v>426000</v>
      </c>
      <c r="X75" s="118"/>
      <c r="Y75" s="21">
        <v>12431</v>
      </c>
      <c r="Z75" s="21" t="s">
        <v>336</v>
      </c>
      <c r="AA75" s="22">
        <v>29419090</v>
      </c>
      <c r="AB75" s="23">
        <v>913970410536009</v>
      </c>
      <c r="AC75" s="10"/>
    </row>
    <row r="76" spans="1:30" ht="39" customHeight="1">
      <c r="A76" s="5">
        <v>27</v>
      </c>
      <c r="B76" s="83"/>
      <c r="C76" s="51"/>
      <c r="D76" s="2"/>
      <c r="E76" s="19"/>
      <c r="F76" s="2"/>
      <c r="G76" s="14"/>
      <c r="H76" s="14"/>
      <c r="I76" s="64"/>
      <c r="J76" s="72"/>
      <c r="K76" s="4"/>
      <c r="L76" s="14"/>
      <c r="M76" s="14"/>
      <c r="N76" s="14"/>
      <c r="O76" s="32"/>
      <c r="P76" s="89">
        <v>22</v>
      </c>
      <c r="Q76" s="76" t="s">
        <v>13</v>
      </c>
      <c r="R76" s="2" t="s">
        <v>337</v>
      </c>
      <c r="S76" s="97">
        <v>15120</v>
      </c>
      <c r="T76" s="50" t="s">
        <v>338</v>
      </c>
      <c r="U76" s="142">
        <v>18</v>
      </c>
      <c r="V76" s="69" t="s">
        <v>13</v>
      </c>
      <c r="W76" s="74">
        <f t="shared" si="5"/>
        <v>272160</v>
      </c>
      <c r="X76" s="118"/>
      <c r="Y76" s="21">
        <v>12318</v>
      </c>
      <c r="Z76" s="21" t="s">
        <v>339</v>
      </c>
      <c r="AA76" s="22">
        <v>29062100</v>
      </c>
      <c r="AB76" s="23">
        <v>914020928128175</v>
      </c>
      <c r="AC76" s="10"/>
    </row>
    <row r="77" spans="1:30" ht="37.5" customHeight="1">
      <c r="A77" s="5">
        <v>31</v>
      </c>
      <c r="B77" s="86"/>
      <c r="C77" s="54"/>
      <c r="D77" s="2"/>
      <c r="E77" s="19"/>
      <c r="F77" s="10"/>
      <c r="G77" s="14"/>
      <c r="H77" s="14"/>
      <c r="I77" s="64"/>
      <c r="J77" s="72"/>
      <c r="K77" s="4"/>
      <c r="L77" s="14"/>
      <c r="M77" s="14"/>
      <c r="N77" s="14"/>
      <c r="O77" s="32"/>
      <c r="P77" s="89">
        <v>452</v>
      </c>
      <c r="Q77" s="76" t="s">
        <v>13</v>
      </c>
      <c r="R77" s="18" t="s">
        <v>340</v>
      </c>
      <c r="S77" s="97">
        <v>1000</v>
      </c>
      <c r="T77" s="50" t="s">
        <v>341</v>
      </c>
      <c r="U77" s="142">
        <v>430</v>
      </c>
      <c r="V77" s="69" t="s">
        <v>52</v>
      </c>
      <c r="W77" s="74">
        <f t="shared" si="5"/>
        <v>430000</v>
      </c>
      <c r="X77" s="119" t="s">
        <v>53</v>
      </c>
      <c r="Y77" s="21">
        <v>12434</v>
      </c>
      <c r="Z77" s="21" t="s">
        <v>342</v>
      </c>
      <c r="AA77" s="22">
        <v>29181900</v>
      </c>
      <c r="AB77" s="23">
        <v>913990214636814</v>
      </c>
      <c r="AC77" s="10"/>
    </row>
    <row r="78" spans="1:30" ht="28.5" customHeight="1">
      <c r="A78" s="5">
        <v>32</v>
      </c>
      <c r="B78" s="83"/>
      <c r="C78" s="51"/>
      <c r="D78" s="2"/>
      <c r="E78" s="19"/>
      <c r="F78" s="2"/>
      <c r="G78" s="14"/>
      <c r="H78" s="14"/>
      <c r="I78" s="64"/>
      <c r="J78" s="72"/>
      <c r="K78" s="4"/>
      <c r="L78" s="14"/>
      <c r="M78" s="14"/>
      <c r="N78" s="14"/>
      <c r="O78" s="32"/>
      <c r="P78" s="89">
        <v>26.7</v>
      </c>
      <c r="Q78" s="76" t="s">
        <v>13</v>
      </c>
      <c r="R78" s="18" t="s">
        <v>343</v>
      </c>
      <c r="S78" s="97">
        <v>10000</v>
      </c>
      <c r="T78" s="50" t="s">
        <v>344</v>
      </c>
      <c r="U78" s="142">
        <v>22</v>
      </c>
      <c r="V78" s="69" t="s">
        <v>13</v>
      </c>
      <c r="W78" s="74">
        <f t="shared" si="5"/>
        <v>220000</v>
      </c>
      <c r="X78" s="119"/>
      <c r="Y78" s="21">
        <v>12430</v>
      </c>
      <c r="Z78" s="21" t="s">
        <v>345</v>
      </c>
      <c r="AA78" s="22">
        <v>29337990</v>
      </c>
      <c r="AB78" s="27">
        <v>913981017108341</v>
      </c>
      <c r="AC78" s="10"/>
    </row>
    <row r="79" spans="1:30" ht="46.5" customHeight="1">
      <c r="A79" s="5">
        <v>36</v>
      </c>
      <c r="B79" s="86"/>
      <c r="C79" s="54"/>
      <c r="D79" s="2"/>
      <c r="E79" s="19"/>
      <c r="F79" s="10"/>
      <c r="G79" s="14"/>
      <c r="H79" s="14"/>
      <c r="I79" s="64"/>
      <c r="J79" s="72"/>
      <c r="K79" s="4"/>
      <c r="L79" s="14"/>
      <c r="M79" s="14"/>
      <c r="N79" s="14"/>
      <c r="O79" s="32"/>
      <c r="P79" s="89">
        <v>42</v>
      </c>
      <c r="Q79" s="76" t="s">
        <v>13</v>
      </c>
      <c r="R79" s="18" t="s">
        <v>346</v>
      </c>
      <c r="S79" s="97">
        <v>18360</v>
      </c>
      <c r="T79" s="50" t="s">
        <v>292</v>
      </c>
      <c r="U79" s="142">
        <v>37</v>
      </c>
      <c r="V79" s="69" t="s">
        <v>13</v>
      </c>
      <c r="W79" s="74">
        <f t="shared" si="5"/>
        <v>679320</v>
      </c>
      <c r="X79" s="119" t="s">
        <v>347</v>
      </c>
      <c r="Y79" s="21">
        <v>12304</v>
      </c>
      <c r="Z79" s="21" t="s">
        <v>348</v>
      </c>
      <c r="AA79" s="22">
        <v>38089419</v>
      </c>
      <c r="AB79" s="23">
        <v>913960324910929</v>
      </c>
      <c r="AC79" s="10"/>
    </row>
    <row r="80" spans="1:30" ht="46.5" customHeight="1">
      <c r="A80" s="5">
        <v>37</v>
      </c>
      <c r="B80" s="83"/>
      <c r="C80" s="51"/>
      <c r="D80" s="18"/>
      <c r="E80" s="19"/>
      <c r="F80" s="2"/>
      <c r="G80" s="14"/>
      <c r="H80" s="14"/>
      <c r="I80" s="64"/>
      <c r="J80" s="72"/>
      <c r="K80" s="4"/>
      <c r="L80" s="14"/>
      <c r="M80" s="14"/>
      <c r="N80" s="14"/>
      <c r="O80" s="32"/>
      <c r="P80" s="89">
        <v>278</v>
      </c>
      <c r="Q80" s="76" t="s">
        <v>13</v>
      </c>
      <c r="R80" s="18" t="s">
        <v>349</v>
      </c>
      <c r="S80" s="97">
        <v>2000</v>
      </c>
      <c r="T80" s="50" t="s">
        <v>257</v>
      </c>
      <c r="U80" s="143">
        <v>306</v>
      </c>
      <c r="V80" s="69" t="s">
        <v>13</v>
      </c>
      <c r="W80" s="74">
        <f t="shared" si="5"/>
        <v>612000</v>
      </c>
      <c r="X80" s="118"/>
      <c r="Y80" s="21">
        <v>12441</v>
      </c>
      <c r="Z80" s="21" t="s">
        <v>350</v>
      </c>
      <c r="AA80" s="22">
        <v>29415090</v>
      </c>
      <c r="AB80" s="23">
        <v>913970327591585</v>
      </c>
      <c r="AC80" s="10"/>
    </row>
    <row r="81" spans="1:30" ht="28.5" customHeight="1">
      <c r="A81" s="5">
        <v>39</v>
      </c>
      <c r="B81" s="86"/>
      <c r="C81" s="54"/>
      <c r="D81" s="2"/>
      <c r="E81" s="19"/>
      <c r="F81" s="10"/>
      <c r="G81" s="14"/>
      <c r="H81" s="14"/>
      <c r="I81" s="64"/>
      <c r="J81" s="72"/>
      <c r="K81" s="4"/>
      <c r="L81" s="14"/>
      <c r="M81" s="14"/>
      <c r="N81" s="14"/>
      <c r="O81" s="32"/>
      <c r="P81" s="89">
        <v>37</v>
      </c>
      <c r="Q81" s="76" t="s">
        <v>13</v>
      </c>
      <c r="R81" s="18" t="s">
        <v>351</v>
      </c>
      <c r="S81" s="97">
        <v>16000</v>
      </c>
      <c r="T81" s="50" t="s">
        <v>352</v>
      </c>
      <c r="U81" s="142">
        <v>38</v>
      </c>
      <c r="V81" s="69" t="s">
        <v>13</v>
      </c>
      <c r="W81" s="74">
        <f t="shared" si="5"/>
        <v>608000</v>
      </c>
      <c r="X81" s="118"/>
      <c r="Y81" s="21">
        <v>12576</v>
      </c>
      <c r="Z81" s="21" t="s">
        <v>353</v>
      </c>
      <c r="AA81" s="22">
        <v>29054990</v>
      </c>
      <c r="AB81" s="23">
        <v>913961009621005</v>
      </c>
      <c r="AC81" s="10"/>
    </row>
    <row r="82" spans="1:30" ht="28.5" customHeight="1">
      <c r="A82" s="5">
        <v>43</v>
      </c>
      <c r="B82" s="86"/>
      <c r="C82" s="54"/>
      <c r="D82" s="2"/>
      <c r="E82" s="19"/>
      <c r="F82" s="10"/>
      <c r="G82" s="14"/>
      <c r="H82" s="14"/>
      <c r="I82" s="64"/>
      <c r="J82" s="72"/>
      <c r="K82" s="4"/>
      <c r="L82" s="14"/>
      <c r="M82" s="14"/>
      <c r="N82" s="14"/>
      <c r="O82" s="32"/>
      <c r="P82" s="89">
        <v>485</v>
      </c>
      <c r="Q82" s="76" t="s">
        <v>13</v>
      </c>
      <c r="R82" s="18" t="s">
        <v>354</v>
      </c>
      <c r="S82" s="97">
        <v>2000</v>
      </c>
      <c r="T82" s="50" t="s">
        <v>321</v>
      </c>
      <c r="U82" s="142">
        <v>465</v>
      </c>
      <c r="V82" s="69" t="s">
        <v>13</v>
      </c>
      <c r="W82" s="74">
        <f t="shared" si="5"/>
        <v>930000</v>
      </c>
      <c r="X82" s="118"/>
      <c r="Y82" s="21">
        <v>12006</v>
      </c>
      <c r="Z82" s="21" t="s">
        <v>355</v>
      </c>
      <c r="AA82" s="22">
        <v>13021900</v>
      </c>
      <c r="AB82" s="23">
        <v>913980720628124</v>
      </c>
      <c r="AC82" s="10"/>
    </row>
    <row r="83" spans="1:30" ht="28.5" customHeight="1">
      <c r="A83" s="5">
        <v>44</v>
      </c>
      <c r="B83" s="86"/>
      <c r="C83" s="54"/>
      <c r="D83" s="2"/>
      <c r="E83" s="19"/>
      <c r="F83" s="10"/>
      <c r="G83" s="14"/>
      <c r="H83" s="14"/>
      <c r="I83" s="64"/>
      <c r="J83" s="72"/>
      <c r="K83" s="4"/>
      <c r="L83" s="14"/>
      <c r="M83" s="14"/>
      <c r="N83" s="14"/>
      <c r="O83" s="32"/>
      <c r="P83" s="89">
        <v>378</v>
      </c>
      <c r="Q83" s="76" t="s">
        <v>13</v>
      </c>
      <c r="R83" s="18" t="s">
        <v>356</v>
      </c>
      <c r="S83" s="97">
        <v>3000</v>
      </c>
      <c r="T83" s="50" t="s">
        <v>357</v>
      </c>
      <c r="U83" s="142">
        <v>348</v>
      </c>
      <c r="V83" s="69" t="s">
        <v>13</v>
      </c>
      <c r="W83" s="74">
        <f t="shared" si="5"/>
        <v>1044000</v>
      </c>
      <c r="X83" s="118"/>
      <c r="Y83" s="21">
        <v>12447</v>
      </c>
      <c r="Z83" s="21" t="s">
        <v>358</v>
      </c>
      <c r="AA83" s="22">
        <v>29339999</v>
      </c>
      <c r="AB83" s="23">
        <v>914000711135653</v>
      </c>
      <c r="AC83" s="10"/>
    </row>
    <row r="84" spans="1:30" ht="28.5" customHeight="1">
      <c r="A84" s="5">
        <v>46</v>
      </c>
      <c r="B84" s="86"/>
      <c r="C84" s="54"/>
      <c r="D84" s="2"/>
      <c r="E84" s="19"/>
      <c r="F84" s="10"/>
      <c r="G84" s="14"/>
      <c r="H84" s="14"/>
      <c r="I84" s="64"/>
      <c r="J84" s="72"/>
      <c r="K84" s="4"/>
      <c r="L84" s="14"/>
      <c r="M84" s="14"/>
      <c r="N84" s="14"/>
      <c r="O84" s="32"/>
      <c r="P84" s="89">
        <v>6700</v>
      </c>
      <c r="Q84" s="76" t="s">
        <v>93</v>
      </c>
      <c r="R84" s="18" t="s">
        <v>359</v>
      </c>
      <c r="S84" s="97">
        <v>100</v>
      </c>
      <c r="T84" s="50" t="s">
        <v>360</v>
      </c>
      <c r="U84" s="142">
        <v>6300</v>
      </c>
      <c r="V84" s="69" t="s">
        <v>93</v>
      </c>
      <c r="W84" s="74">
        <f t="shared" si="5"/>
        <v>630000</v>
      </c>
      <c r="X84" s="118"/>
      <c r="Y84" s="21">
        <v>12435</v>
      </c>
      <c r="Z84" s="21" t="s">
        <v>361</v>
      </c>
      <c r="AA84" s="22">
        <v>29419090</v>
      </c>
      <c r="AB84" s="23">
        <v>913990612927246</v>
      </c>
      <c r="AC84" s="10"/>
    </row>
    <row r="85" spans="1:30" ht="28.5" customHeight="1">
      <c r="A85" s="5">
        <v>53</v>
      </c>
      <c r="B85" s="83"/>
      <c r="C85" s="51"/>
      <c r="D85" s="2"/>
      <c r="E85" s="19"/>
      <c r="F85" s="10"/>
      <c r="G85" s="14"/>
      <c r="H85" s="14"/>
      <c r="I85" s="64"/>
      <c r="J85" s="72"/>
      <c r="K85" s="4"/>
      <c r="L85" s="14"/>
      <c r="M85" s="14"/>
      <c r="N85" s="14"/>
      <c r="O85" s="32"/>
      <c r="P85" s="89">
        <v>19000</v>
      </c>
      <c r="Q85" s="76" t="s">
        <v>93</v>
      </c>
      <c r="R85" s="18" t="s">
        <v>362</v>
      </c>
      <c r="S85" s="97">
        <v>100</v>
      </c>
      <c r="T85" s="50" t="s">
        <v>333</v>
      </c>
      <c r="U85" s="142">
        <v>18600</v>
      </c>
      <c r="V85" s="69" t="s">
        <v>93</v>
      </c>
      <c r="W85" s="74">
        <f t="shared" si="5"/>
        <v>1860000</v>
      </c>
      <c r="X85" s="119" t="s">
        <v>53</v>
      </c>
      <c r="Y85" s="21">
        <v>12497</v>
      </c>
      <c r="Z85" s="21" t="s">
        <v>363</v>
      </c>
      <c r="AA85" s="22">
        <v>29419090</v>
      </c>
      <c r="AB85" s="23">
        <v>913961023241903</v>
      </c>
      <c r="AC85" s="10"/>
    </row>
    <row r="86" spans="1:30" ht="28.5" customHeight="1">
      <c r="A86" s="5">
        <v>54</v>
      </c>
      <c r="B86" s="83"/>
      <c r="C86" s="51"/>
      <c r="D86" s="2"/>
      <c r="E86" s="19"/>
      <c r="F86" s="10"/>
      <c r="G86" s="14"/>
      <c r="H86" s="14"/>
      <c r="I86" s="64"/>
      <c r="J86" s="72"/>
      <c r="K86" s="4"/>
      <c r="L86" s="14"/>
      <c r="M86" s="14"/>
      <c r="N86" s="14"/>
      <c r="O86" s="32"/>
      <c r="P86" s="89">
        <v>52</v>
      </c>
      <c r="Q86" s="76" t="s">
        <v>13</v>
      </c>
      <c r="R86" s="18" t="s">
        <v>364</v>
      </c>
      <c r="S86" s="97">
        <v>16000</v>
      </c>
      <c r="T86" s="50" t="s">
        <v>365</v>
      </c>
      <c r="U86" s="142">
        <v>56</v>
      </c>
      <c r="V86" s="69" t="s">
        <v>13</v>
      </c>
      <c r="W86" s="74">
        <f t="shared" si="5"/>
        <v>896000</v>
      </c>
      <c r="X86" s="118"/>
      <c r="Y86" s="21">
        <v>11981</v>
      </c>
      <c r="Z86" s="21" t="s">
        <v>366</v>
      </c>
      <c r="AA86" s="22">
        <v>29053900</v>
      </c>
      <c r="AB86" s="23">
        <v>913980721310046</v>
      </c>
      <c r="AC86" s="10"/>
    </row>
    <row r="87" spans="1:30" ht="35.450000000000003" customHeight="1">
      <c r="A87" s="5">
        <v>58</v>
      </c>
      <c r="B87" s="83"/>
      <c r="C87" s="51"/>
      <c r="D87" s="2"/>
      <c r="E87" s="19"/>
      <c r="F87" s="10"/>
      <c r="G87" s="14"/>
      <c r="H87" s="14"/>
      <c r="I87" s="64"/>
      <c r="J87" s="72"/>
      <c r="K87" s="4"/>
      <c r="L87" s="14"/>
      <c r="M87" s="14"/>
      <c r="N87" s="14"/>
      <c r="O87" s="32"/>
      <c r="P87" s="89">
        <v>223</v>
      </c>
      <c r="Q87" s="76" t="s">
        <v>13</v>
      </c>
      <c r="R87" s="18" t="s">
        <v>367</v>
      </c>
      <c r="S87" s="97">
        <v>5000</v>
      </c>
      <c r="T87" s="50" t="s">
        <v>368</v>
      </c>
      <c r="U87" s="142">
        <v>213</v>
      </c>
      <c r="V87" s="69" t="s">
        <v>13</v>
      </c>
      <c r="W87" s="74">
        <f t="shared" si="5"/>
        <v>1065000</v>
      </c>
      <c r="X87" s="118"/>
      <c r="Y87" s="21">
        <v>12251</v>
      </c>
      <c r="Z87" s="21" t="s">
        <v>369</v>
      </c>
      <c r="AA87" s="22">
        <v>29419090</v>
      </c>
      <c r="AB87" s="23">
        <v>913951214047173</v>
      </c>
      <c r="AC87" s="10"/>
    </row>
    <row r="88" spans="1:30" ht="28.5" customHeight="1">
      <c r="A88" s="5">
        <v>61</v>
      </c>
      <c r="B88" s="83"/>
      <c r="C88" s="51"/>
      <c r="D88" s="2"/>
      <c r="E88" s="19"/>
      <c r="F88" s="10"/>
      <c r="G88" s="14"/>
      <c r="H88" s="14"/>
      <c r="I88" s="64"/>
      <c r="J88" s="72"/>
      <c r="K88" s="4"/>
      <c r="L88" s="14"/>
      <c r="M88" s="14"/>
      <c r="N88" s="14"/>
      <c r="O88" s="32"/>
      <c r="P88" s="89">
        <v>65</v>
      </c>
      <c r="Q88" s="76" t="s">
        <v>13</v>
      </c>
      <c r="R88" s="18" t="s">
        <v>370</v>
      </c>
      <c r="S88" s="97">
        <v>10000</v>
      </c>
      <c r="T88" s="50" t="s">
        <v>29</v>
      </c>
      <c r="U88" s="142">
        <v>62</v>
      </c>
      <c r="V88" s="69" t="s">
        <v>13</v>
      </c>
      <c r="W88" s="74">
        <f t="shared" si="5"/>
        <v>620000</v>
      </c>
      <c r="X88" s="118"/>
      <c r="Y88" s="21">
        <v>12310</v>
      </c>
      <c r="Z88" s="21" t="s">
        <v>371</v>
      </c>
      <c r="AA88" s="22">
        <v>29419090</v>
      </c>
      <c r="AB88" s="23">
        <v>914000124680041</v>
      </c>
      <c r="AC88" s="10"/>
    </row>
    <row r="89" spans="1:30" ht="28.5" customHeight="1">
      <c r="A89" s="5">
        <v>63</v>
      </c>
      <c r="B89" s="83"/>
      <c r="C89" s="51"/>
      <c r="D89" s="2"/>
      <c r="E89" s="19"/>
      <c r="F89" s="10"/>
      <c r="G89" s="14"/>
      <c r="H89" s="14"/>
      <c r="I89" s="64"/>
      <c r="J89" s="72"/>
      <c r="K89" s="4"/>
      <c r="L89" s="14"/>
      <c r="M89" s="14"/>
      <c r="N89" s="14"/>
      <c r="O89" s="32"/>
      <c r="P89" s="89">
        <v>276</v>
      </c>
      <c r="Q89" s="76" t="s">
        <v>13</v>
      </c>
      <c r="R89" s="18" t="s">
        <v>372</v>
      </c>
      <c r="S89" s="97">
        <v>5000</v>
      </c>
      <c r="T89" s="50" t="s">
        <v>29</v>
      </c>
      <c r="U89" s="142">
        <v>277</v>
      </c>
      <c r="V89" s="69" t="s">
        <v>13</v>
      </c>
      <c r="W89" s="74">
        <f t="shared" si="5"/>
        <v>1385000</v>
      </c>
      <c r="X89" s="118"/>
      <c r="Y89" s="21">
        <v>12343</v>
      </c>
      <c r="Z89" s="21" t="s">
        <v>373</v>
      </c>
      <c r="AA89" s="22">
        <v>29419090</v>
      </c>
      <c r="AB89" s="23">
        <v>913980308651145</v>
      </c>
      <c r="AC89" s="10"/>
    </row>
    <row r="90" spans="1:30" ht="43.5" customHeight="1">
      <c r="A90" s="5">
        <v>70</v>
      </c>
      <c r="B90" s="83"/>
      <c r="C90" s="51"/>
      <c r="D90" s="2"/>
      <c r="E90" s="19"/>
      <c r="F90" s="2"/>
      <c r="G90" s="14"/>
      <c r="H90" s="14"/>
      <c r="I90" s="64"/>
      <c r="J90" s="72"/>
      <c r="K90" s="4"/>
      <c r="L90" s="14"/>
      <c r="M90" s="14"/>
      <c r="N90" s="14"/>
      <c r="O90" s="32"/>
      <c r="P90" s="89">
        <v>720</v>
      </c>
      <c r="Q90" s="76" t="s">
        <v>13</v>
      </c>
      <c r="R90" s="18" t="s">
        <v>374</v>
      </c>
      <c r="S90" s="97">
        <v>1700</v>
      </c>
      <c r="T90" s="50" t="s">
        <v>375</v>
      </c>
      <c r="U90" s="142">
        <v>700</v>
      </c>
      <c r="V90" s="69" t="s">
        <v>13</v>
      </c>
      <c r="W90" s="74">
        <f t="shared" si="5"/>
        <v>1190000</v>
      </c>
      <c r="X90" s="118"/>
      <c r="Y90" s="21">
        <v>12307</v>
      </c>
      <c r="Z90" s="21" t="s">
        <v>376</v>
      </c>
      <c r="AA90" s="22">
        <v>29412000</v>
      </c>
      <c r="AB90" s="23">
        <v>914010302711292</v>
      </c>
      <c r="AC90" s="10"/>
    </row>
    <row r="91" spans="1:30" ht="42" customHeight="1">
      <c r="A91" s="5">
        <v>72</v>
      </c>
      <c r="B91" s="83"/>
      <c r="C91" s="51"/>
      <c r="D91" s="2"/>
      <c r="E91" s="19"/>
      <c r="F91" s="10"/>
      <c r="G91" s="14"/>
      <c r="H91" s="14"/>
      <c r="I91" s="64"/>
      <c r="J91" s="72"/>
      <c r="K91" s="4"/>
      <c r="L91" s="14"/>
      <c r="M91" s="14"/>
      <c r="N91" s="14"/>
      <c r="O91" s="32"/>
      <c r="P91" s="89">
        <v>950</v>
      </c>
      <c r="Q91" s="76" t="s">
        <v>13</v>
      </c>
      <c r="R91" s="18" t="s">
        <v>377</v>
      </c>
      <c r="S91" s="97">
        <v>1500</v>
      </c>
      <c r="T91" s="50" t="s">
        <v>378</v>
      </c>
      <c r="U91" s="142">
        <v>950</v>
      </c>
      <c r="V91" s="69" t="s">
        <v>13</v>
      </c>
      <c r="W91" s="74">
        <f t="shared" si="5"/>
        <v>1425000</v>
      </c>
      <c r="X91" s="118"/>
      <c r="Y91" s="21">
        <v>12445</v>
      </c>
      <c r="Z91" s="21" t="s">
        <v>379</v>
      </c>
      <c r="AA91" s="22">
        <v>29362300</v>
      </c>
      <c r="AB91" s="27">
        <v>913951125541801</v>
      </c>
      <c r="AC91" s="10"/>
    </row>
    <row r="92" spans="1:30" ht="28.5" customHeight="1">
      <c r="A92" s="5">
        <v>74</v>
      </c>
      <c r="B92" s="83"/>
      <c r="C92" s="51"/>
      <c r="D92" s="2"/>
      <c r="E92" s="19"/>
      <c r="F92" s="2"/>
      <c r="G92" s="14"/>
      <c r="H92" s="14"/>
      <c r="I92" s="64"/>
      <c r="J92" s="72"/>
      <c r="K92" s="4"/>
      <c r="L92" s="14"/>
      <c r="M92" s="14"/>
      <c r="N92" s="14"/>
      <c r="O92" s="32"/>
      <c r="P92" s="89">
        <v>18</v>
      </c>
      <c r="Q92" s="76" t="s">
        <v>13</v>
      </c>
      <c r="R92" s="18" t="s">
        <v>380</v>
      </c>
      <c r="S92" s="97">
        <v>120000</v>
      </c>
      <c r="T92" s="50" t="s">
        <v>32</v>
      </c>
      <c r="U92" s="142">
        <v>18</v>
      </c>
      <c r="V92" s="69" t="s">
        <v>13</v>
      </c>
      <c r="W92" s="74">
        <f t="shared" si="5"/>
        <v>2160000</v>
      </c>
      <c r="X92" s="118"/>
      <c r="Y92" s="21">
        <v>12303</v>
      </c>
      <c r="Z92" s="21" t="s">
        <v>381</v>
      </c>
      <c r="AA92" s="22">
        <v>29419090</v>
      </c>
      <c r="AB92" s="23">
        <v>913980431840342</v>
      </c>
      <c r="AC92" s="10"/>
    </row>
    <row r="93" spans="1:30" ht="42" customHeight="1">
      <c r="A93" s="5">
        <v>92</v>
      </c>
      <c r="B93" s="86"/>
      <c r="C93" s="54"/>
      <c r="D93" s="2"/>
      <c r="E93" s="19"/>
      <c r="F93" s="10"/>
      <c r="G93" s="14"/>
      <c r="H93" s="14"/>
      <c r="I93" s="64"/>
      <c r="J93" s="72"/>
      <c r="K93" s="4"/>
      <c r="L93" s="14"/>
      <c r="M93" s="14"/>
      <c r="N93" s="14"/>
      <c r="O93" s="32"/>
      <c r="P93" s="89">
        <v>2.5</v>
      </c>
      <c r="Q93" s="59" t="s">
        <v>89</v>
      </c>
      <c r="R93" s="2" t="s">
        <v>382</v>
      </c>
      <c r="S93" s="97">
        <v>30000</v>
      </c>
      <c r="T93" s="51" t="s">
        <v>383</v>
      </c>
      <c r="U93" s="142">
        <v>9</v>
      </c>
      <c r="V93" s="69" t="s">
        <v>13</v>
      </c>
      <c r="W93" s="74">
        <f t="shared" si="5"/>
        <v>270000</v>
      </c>
      <c r="X93" s="118"/>
      <c r="Y93" s="21">
        <v>12326</v>
      </c>
      <c r="Z93" s="37" t="s">
        <v>384</v>
      </c>
      <c r="AA93" s="22">
        <v>29155000</v>
      </c>
      <c r="AB93" s="23">
        <v>913980426316262</v>
      </c>
      <c r="AC93" s="10"/>
    </row>
    <row r="94" spans="1:30" ht="48" customHeight="1">
      <c r="A94" s="5">
        <v>93</v>
      </c>
      <c r="B94" s="86"/>
      <c r="C94" s="54"/>
      <c r="D94" s="2"/>
      <c r="E94" s="19"/>
      <c r="F94" s="10"/>
      <c r="G94" s="14"/>
      <c r="H94" s="14"/>
      <c r="I94" s="64"/>
      <c r="J94" s="72"/>
      <c r="K94" s="4"/>
      <c r="L94" s="14"/>
      <c r="M94" s="14"/>
      <c r="N94" s="14"/>
      <c r="O94" s="32"/>
      <c r="P94" s="89">
        <v>72.599999999999994</v>
      </c>
      <c r="Q94" s="59" t="s">
        <v>89</v>
      </c>
      <c r="R94" s="2" t="s">
        <v>385</v>
      </c>
      <c r="S94" s="97">
        <v>2000</v>
      </c>
      <c r="T94" s="50" t="s">
        <v>386</v>
      </c>
      <c r="U94" s="142">
        <v>700</v>
      </c>
      <c r="V94" s="69" t="s">
        <v>13</v>
      </c>
      <c r="W94" s="74">
        <f t="shared" si="5"/>
        <v>1400000</v>
      </c>
      <c r="X94" s="118"/>
      <c r="Y94" s="21"/>
      <c r="Z94" s="21"/>
      <c r="AA94" s="36"/>
      <c r="AB94" s="23">
        <v>914030707916105</v>
      </c>
      <c r="AC94" s="10"/>
    </row>
    <row r="95" spans="1:30" ht="47.25" customHeight="1">
      <c r="A95" s="5">
        <v>94</v>
      </c>
      <c r="B95" s="83"/>
      <c r="C95" s="51"/>
      <c r="D95" s="2"/>
      <c r="E95" s="19"/>
      <c r="F95" s="10"/>
      <c r="G95" s="14"/>
      <c r="H95" s="14"/>
      <c r="I95" s="64"/>
      <c r="J95" s="72"/>
      <c r="K95" s="4"/>
      <c r="L95" s="14"/>
      <c r="M95" s="14"/>
      <c r="N95" s="14"/>
      <c r="O95" s="32"/>
      <c r="P95" s="89">
        <v>23.63</v>
      </c>
      <c r="Q95" s="59" t="s">
        <v>89</v>
      </c>
      <c r="R95" s="18" t="s">
        <v>387</v>
      </c>
      <c r="S95" s="97">
        <v>5000</v>
      </c>
      <c r="T95" s="50" t="s">
        <v>386</v>
      </c>
      <c r="U95" s="142">
        <v>468</v>
      </c>
      <c r="V95" s="69" t="s">
        <v>13</v>
      </c>
      <c r="W95" s="74">
        <f t="shared" si="5"/>
        <v>2340000</v>
      </c>
      <c r="X95" s="118"/>
      <c r="Y95" s="21"/>
      <c r="Z95" s="21"/>
      <c r="AA95" s="22">
        <v>29339910</v>
      </c>
      <c r="AB95" s="39">
        <v>913990629776913</v>
      </c>
      <c r="AC95" s="10"/>
    </row>
    <row r="96" spans="1:30" ht="97.5" customHeight="1">
      <c r="A96" s="5"/>
      <c r="B96" s="83"/>
      <c r="C96" s="51"/>
      <c r="D96" s="2"/>
      <c r="E96" s="19"/>
      <c r="F96" s="10"/>
      <c r="G96" s="14"/>
      <c r="H96" s="14"/>
      <c r="I96" s="64"/>
      <c r="J96" s="72"/>
      <c r="K96" s="4"/>
      <c r="L96" s="14"/>
      <c r="M96" s="14"/>
      <c r="N96" s="14"/>
      <c r="O96" s="32"/>
      <c r="P96" s="89"/>
      <c r="Q96" s="59"/>
      <c r="R96" s="105" t="s">
        <v>431</v>
      </c>
      <c r="S96" s="104">
        <v>1000</v>
      </c>
      <c r="T96" s="106" t="s">
        <v>432</v>
      </c>
      <c r="U96" s="145">
        <v>79</v>
      </c>
      <c r="V96" s="108" t="s">
        <v>13</v>
      </c>
      <c r="W96" s="109"/>
      <c r="X96" s="107" t="s">
        <v>433</v>
      </c>
      <c r="Y96" s="21"/>
      <c r="Z96" s="21"/>
      <c r="AA96" s="21"/>
      <c r="AB96" s="164"/>
      <c r="AC96" s="10"/>
      <c r="AD96" s="137" t="s">
        <v>445</v>
      </c>
    </row>
    <row r="97" spans="1:30" ht="56.25" customHeight="1">
      <c r="A97" s="5"/>
      <c r="B97" s="83"/>
      <c r="C97" s="51"/>
      <c r="D97" s="2"/>
      <c r="E97" s="19"/>
      <c r="F97" s="10"/>
      <c r="G97" s="14"/>
      <c r="H97" s="14"/>
      <c r="I97" s="64"/>
      <c r="J97" s="72"/>
      <c r="K97" s="4"/>
      <c r="L97" s="14"/>
      <c r="M97" s="14"/>
      <c r="N97" s="14"/>
      <c r="O97" s="32"/>
      <c r="P97" s="89"/>
      <c r="Q97" s="59"/>
      <c r="R97" s="130" t="s">
        <v>452</v>
      </c>
      <c r="S97" s="130" t="s">
        <v>453</v>
      </c>
      <c r="T97" s="133" t="s">
        <v>454</v>
      </c>
      <c r="U97" s="146">
        <v>43</v>
      </c>
      <c r="V97" s="131" t="s">
        <v>455</v>
      </c>
      <c r="W97" s="131" t="e">
        <f>SUM(W4:W96)</f>
        <v>#VALUE!</v>
      </c>
      <c r="X97" s="135" t="s">
        <v>478</v>
      </c>
      <c r="Y97" s="21"/>
      <c r="Z97" s="21"/>
      <c r="AA97" s="21"/>
      <c r="AB97" s="164"/>
      <c r="AC97" s="10"/>
      <c r="AD97" s="123" t="s">
        <v>477</v>
      </c>
    </row>
    <row r="98" spans="1:30" ht="97.5" customHeight="1">
      <c r="A98" s="5"/>
      <c r="B98" s="83"/>
      <c r="C98" s="51"/>
      <c r="D98" s="2"/>
      <c r="E98" s="19"/>
      <c r="F98" s="10"/>
      <c r="G98" s="14"/>
      <c r="H98" s="14"/>
      <c r="I98" s="64"/>
      <c r="J98" s="72"/>
      <c r="K98" s="4"/>
      <c r="L98" s="14"/>
      <c r="M98" s="14"/>
      <c r="N98" s="14"/>
      <c r="O98" s="32"/>
      <c r="P98" s="89"/>
      <c r="Q98" s="59"/>
      <c r="R98" s="130" t="s">
        <v>456</v>
      </c>
      <c r="S98" s="130" t="s">
        <v>457</v>
      </c>
      <c r="T98" s="133" t="s">
        <v>458</v>
      </c>
      <c r="U98" s="147">
        <v>4</v>
      </c>
      <c r="V98" s="131" t="s">
        <v>459</v>
      </c>
      <c r="W98" s="131"/>
      <c r="X98" s="135" t="s">
        <v>460</v>
      </c>
      <c r="Y98" s="21"/>
      <c r="Z98" s="21"/>
      <c r="AA98" s="21"/>
      <c r="AB98" s="164"/>
      <c r="AC98" s="10"/>
      <c r="AD98" s="139" t="s">
        <v>479</v>
      </c>
    </row>
    <row r="99" spans="1:30" ht="56.25" customHeight="1">
      <c r="A99" s="5"/>
      <c r="B99" s="83"/>
      <c r="C99" s="51"/>
      <c r="D99" s="2"/>
      <c r="E99" s="19"/>
      <c r="F99" s="10"/>
      <c r="G99" s="14"/>
      <c r="H99" s="14"/>
      <c r="I99" s="64"/>
      <c r="J99" s="72"/>
      <c r="K99" s="4"/>
      <c r="L99" s="14"/>
      <c r="M99" s="14"/>
      <c r="N99" s="14"/>
      <c r="O99" s="32"/>
      <c r="P99" s="89"/>
      <c r="Q99" s="59"/>
      <c r="R99" s="133" t="s">
        <v>461</v>
      </c>
      <c r="S99" s="133">
        <v>3000.5639999999999</v>
      </c>
      <c r="T99" s="131" t="s">
        <v>462</v>
      </c>
      <c r="U99" s="148">
        <v>350</v>
      </c>
      <c r="V99" s="131" t="s">
        <v>13</v>
      </c>
      <c r="W99" s="131"/>
      <c r="X99" s="135" t="s">
        <v>465</v>
      </c>
      <c r="Y99" s="21"/>
      <c r="Z99" s="21"/>
      <c r="AA99" s="21"/>
      <c r="AB99" s="164"/>
      <c r="AC99" s="10"/>
      <c r="AD99" s="123"/>
    </row>
    <row r="100" spans="1:30" ht="56.25" customHeight="1">
      <c r="A100" s="5"/>
      <c r="B100" s="83"/>
      <c r="C100" s="51"/>
      <c r="D100" s="2"/>
      <c r="E100" s="19"/>
      <c r="F100" s="10"/>
      <c r="G100" s="14"/>
      <c r="H100" s="14"/>
      <c r="I100" s="64"/>
      <c r="J100" s="72"/>
      <c r="K100" s="4"/>
      <c r="L100" s="14"/>
      <c r="M100" s="14"/>
      <c r="N100" s="14"/>
      <c r="O100" s="32"/>
      <c r="P100" s="89">
        <v>148</v>
      </c>
      <c r="Q100" s="59"/>
      <c r="R100" s="130" t="s">
        <v>463</v>
      </c>
      <c r="S100" s="130" t="s">
        <v>464</v>
      </c>
      <c r="T100" s="133" t="s">
        <v>476</v>
      </c>
      <c r="U100" s="147">
        <v>146</v>
      </c>
      <c r="V100" s="131" t="s">
        <v>466</v>
      </c>
      <c r="W100" s="131"/>
      <c r="X100" s="134"/>
      <c r="Y100" s="21"/>
      <c r="Z100" s="21"/>
      <c r="AA100" s="21"/>
      <c r="AB100" s="164"/>
      <c r="AC100" s="10"/>
      <c r="AD100" s="123"/>
    </row>
    <row r="101" spans="1:30" ht="56.25" customHeight="1">
      <c r="A101" s="5"/>
      <c r="B101" s="83"/>
      <c r="C101" s="51"/>
      <c r="D101" s="2"/>
      <c r="E101" s="19"/>
      <c r="F101" s="10"/>
      <c r="G101" s="14"/>
      <c r="H101" s="14"/>
      <c r="I101" s="64"/>
      <c r="J101" s="72"/>
      <c r="K101" s="4"/>
      <c r="L101" s="14"/>
      <c r="M101" s="14"/>
      <c r="N101" s="14"/>
      <c r="O101" s="32"/>
      <c r="P101" s="89">
        <v>490</v>
      </c>
      <c r="Q101" s="59"/>
      <c r="R101" s="130" t="s">
        <v>467</v>
      </c>
      <c r="S101" s="130" t="s">
        <v>468</v>
      </c>
      <c r="T101" s="133" t="s">
        <v>475</v>
      </c>
      <c r="U101" s="147">
        <v>485</v>
      </c>
      <c r="V101" s="131" t="s">
        <v>469</v>
      </c>
      <c r="W101" s="131"/>
      <c r="X101" s="134"/>
      <c r="Y101" s="21"/>
      <c r="Z101" s="21"/>
      <c r="AA101" s="21"/>
      <c r="AB101" s="164"/>
      <c r="AC101" s="10"/>
      <c r="AD101" s="123"/>
    </row>
    <row r="102" spans="1:30" ht="32.25" customHeight="1">
      <c r="A102" s="5"/>
      <c r="B102" s="83"/>
      <c r="C102" s="51"/>
      <c r="D102" s="2"/>
      <c r="E102" s="19"/>
      <c r="F102" s="10"/>
      <c r="G102" s="14"/>
      <c r="H102" s="14"/>
      <c r="I102" s="64"/>
      <c r="J102" s="72"/>
      <c r="K102" s="4"/>
      <c r="L102" s="14"/>
      <c r="M102" s="14"/>
      <c r="N102" s="14"/>
      <c r="O102" s="32"/>
      <c r="P102" s="89"/>
      <c r="Q102" s="59"/>
      <c r="R102" s="130" t="s">
        <v>470</v>
      </c>
      <c r="S102" s="130" t="s">
        <v>471</v>
      </c>
      <c r="T102" s="133" t="s">
        <v>472</v>
      </c>
      <c r="U102" s="147">
        <v>500</v>
      </c>
      <c r="V102" s="131" t="s">
        <v>455</v>
      </c>
      <c r="W102" s="131"/>
      <c r="X102" s="134"/>
      <c r="Y102" s="21"/>
      <c r="Z102" s="21"/>
      <c r="AA102" s="21"/>
      <c r="AB102" s="164"/>
      <c r="AC102" s="10"/>
      <c r="AD102" s="123"/>
    </row>
    <row r="103" spans="1:30" ht="56.25" customHeight="1">
      <c r="A103" s="5"/>
      <c r="B103" s="83"/>
      <c r="C103" s="51"/>
      <c r="D103" s="2"/>
      <c r="E103" s="19"/>
      <c r="F103" s="10"/>
      <c r="G103" s="14"/>
      <c r="H103" s="14"/>
      <c r="I103" s="64"/>
      <c r="J103" s="72"/>
      <c r="K103" s="4"/>
      <c r="L103" s="14"/>
      <c r="M103" s="14"/>
      <c r="N103" s="14"/>
      <c r="O103" s="32"/>
      <c r="P103" s="89">
        <v>30.5</v>
      </c>
      <c r="Q103" s="59"/>
      <c r="R103" s="130" t="s">
        <v>473</v>
      </c>
      <c r="S103" s="130" t="s">
        <v>453</v>
      </c>
      <c r="T103" s="133" t="s">
        <v>474</v>
      </c>
      <c r="U103" s="147">
        <v>32</v>
      </c>
      <c r="V103" s="132" t="s">
        <v>469</v>
      </c>
      <c r="W103" s="131"/>
      <c r="X103" s="134"/>
      <c r="Y103" s="21"/>
      <c r="Z103" s="21"/>
      <c r="AA103" s="21"/>
      <c r="AB103" s="164"/>
      <c r="AC103" s="10"/>
      <c r="AD103" s="123"/>
    </row>
    <row r="104" spans="1:30" ht="56.25" customHeight="1">
      <c r="A104" s="5"/>
      <c r="B104" s="83"/>
      <c r="C104" s="51"/>
      <c r="D104" s="2"/>
      <c r="E104" s="19"/>
      <c r="F104" s="10"/>
      <c r="G104" s="14"/>
      <c r="H104" s="14"/>
      <c r="I104" s="64"/>
      <c r="J104" s="72"/>
      <c r="K104" s="4"/>
      <c r="L104" s="14"/>
      <c r="M104" s="14"/>
      <c r="N104" s="14"/>
      <c r="O104" s="32"/>
      <c r="P104" s="94">
        <v>920</v>
      </c>
      <c r="Q104" s="59"/>
      <c r="R104" s="130" t="s">
        <v>446</v>
      </c>
      <c r="S104" s="130">
        <v>2500</v>
      </c>
      <c r="T104" s="130" t="s">
        <v>447</v>
      </c>
      <c r="U104" s="147">
        <v>1000</v>
      </c>
      <c r="V104" s="131" t="s">
        <v>448</v>
      </c>
      <c r="W104" s="131"/>
      <c r="X104" s="136" t="s">
        <v>449</v>
      </c>
      <c r="Y104" s="10"/>
      <c r="Z104" s="21"/>
      <c r="AA104" s="10"/>
      <c r="AB104" s="49"/>
      <c r="AC104" s="10"/>
      <c r="AD104" t="s">
        <v>450</v>
      </c>
    </row>
    <row r="105" spans="1:30" ht="56.25" customHeight="1">
      <c r="A105" s="5"/>
      <c r="B105" s="83"/>
      <c r="C105" s="51"/>
      <c r="D105" s="2"/>
      <c r="E105" s="19"/>
      <c r="F105" s="10"/>
      <c r="G105" s="14"/>
      <c r="H105" s="14"/>
      <c r="I105" s="64"/>
      <c r="J105" s="72"/>
      <c r="K105" s="4"/>
      <c r="L105" s="14"/>
      <c r="M105" s="14"/>
      <c r="N105" s="14"/>
      <c r="O105" s="32"/>
      <c r="P105" s="94">
        <v>14</v>
      </c>
      <c r="Q105" s="59"/>
      <c r="R105" s="130" t="s">
        <v>480</v>
      </c>
      <c r="S105" s="130">
        <v>5000</v>
      </c>
      <c r="T105" s="133" t="s">
        <v>481</v>
      </c>
      <c r="U105" s="147">
        <v>6.9</v>
      </c>
      <c r="V105" s="132" t="s">
        <v>482</v>
      </c>
      <c r="W105" s="131"/>
      <c r="X105" s="155"/>
      <c r="Y105" s="168"/>
      <c r="Z105" s="168"/>
      <c r="AA105" s="168"/>
      <c r="AB105" s="168"/>
      <c r="AC105" s="168"/>
    </row>
    <row r="106" spans="1:30" ht="56.25" customHeight="1">
      <c r="A106" s="5"/>
      <c r="B106" s="83"/>
      <c r="C106" s="51"/>
      <c r="D106" s="2"/>
      <c r="E106" s="19"/>
      <c r="F106" s="10"/>
      <c r="G106" s="14"/>
      <c r="H106" s="14"/>
      <c r="I106" s="64"/>
      <c r="J106" s="72"/>
      <c r="K106" s="4"/>
      <c r="L106" s="14"/>
      <c r="M106" s="14"/>
      <c r="N106" s="14"/>
      <c r="O106" s="32"/>
      <c r="P106" s="94"/>
      <c r="Q106" s="59"/>
      <c r="R106" s="152" t="s">
        <v>483</v>
      </c>
      <c r="S106" s="130">
        <v>400</v>
      </c>
      <c r="T106" s="133" t="s">
        <v>484</v>
      </c>
      <c r="U106" s="153">
        <v>267</v>
      </c>
      <c r="V106" s="154" t="s">
        <v>485</v>
      </c>
      <c r="W106" s="131"/>
      <c r="X106" s="155"/>
      <c r="Y106" s="168"/>
      <c r="Z106" s="168"/>
      <c r="AA106" s="168"/>
      <c r="AB106" s="168"/>
      <c r="AC106" s="168"/>
    </row>
    <row r="107" spans="1:30" ht="28.5" customHeight="1">
      <c r="A107" s="5">
        <v>95</v>
      </c>
      <c r="B107" s="86"/>
      <c r="C107" s="54"/>
      <c r="D107" s="2"/>
      <c r="E107" s="19"/>
      <c r="F107" s="10"/>
      <c r="G107" s="14"/>
      <c r="H107" s="14"/>
      <c r="I107" s="64"/>
      <c r="J107" s="72"/>
      <c r="K107" s="4"/>
      <c r="L107" s="14"/>
      <c r="M107" s="14"/>
      <c r="N107" s="14"/>
      <c r="O107" s="32"/>
      <c r="P107" s="89">
        <v>20.975000000000001</v>
      </c>
      <c r="Q107" s="59" t="s">
        <v>89</v>
      </c>
      <c r="R107" s="40" t="s">
        <v>487</v>
      </c>
      <c r="S107" s="41">
        <v>1000</v>
      </c>
      <c r="T107" s="156" t="s">
        <v>488</v>
      </c>
      <c r="U107" s="173" t="s">
        <v>505</v>
      </c>
      <c r="V107" s="157" t="s">
        <v>506</v>
      </c>
      <c r="W107" s="74"/>
      <c r="X107" s="158">
        <v>19.5</v>
      </c>
      <c r="Y107" s="21">
        <v>11752</v>
      </c>
      <c r="Z107" s="21" t="s">
        <v>388</v>
      </c>
      <c r="AA107" s="22">
        <v>33012990</v>
      </c>
      <c r="AB107" s="23">
        <v>914001015102432</v>
      </c>
      <c r="AC107" s="10"/>
    </row>
    <row r="108" spans="1:30" ht="28.5" customHeight="1">
      <c r="A108" s="5"/>
      <c r="B108" s="86"/>
      <c r="C108" s="54"/>
      <c r="D108" s="2"/>
      <c r="E108" s="19"/>
      <c r="F108" s="10"/>
      <c r="G108" s="14"/>
      <c r="H108" s="14"/>
      <c r="I108" s="64"/>
      <c r="J108" s="72"/>
      <c r="K108" s="4"/>
      <c r="L108" s="14"/>
      <c r="M108" s="14"/>
      <c r="N108" s="14"/>
      <c r="O108" s="32"/>
      <c r="P108" s="89"/>
      <c r="Q108" s="59"/>
      <c r="R108" s="40" t="s">
        <v>486</v>
      </c>
      <c r="S108" s="41">
        <v>1000</v>
      </c>
      <c r="T108" s="156" t="s">
        <v>489</v>
      </c>
      <c r="U108" s="173" t="s">
        <v>507</v>
      </c>
      <c r="V108" s="174" t="s">
        <v>508</v>
      </c>
      <c r="W108" s="74"/>
      <c r="X108" s="20">
        <v>19</v>
      </c>
      <c r="Y108" s="21"/>
      <c r="Z108" s="21"/>
      <c r="AA108" s="22"/>
      <c r="AB108" s="23"/>
      <c r="AC108" s="10"/>
    </row>
    <row r="109" spans="1:30" ht="28.5" customHeight="1">
      <c r="A109" s="5">
        <v>96</v>
      </c>
      <c r="B109" s="83"/>
      <c r="C109" s="51"/>
      <c r="D109" s="2"/>
      <c r="E109" s="19"/>
      <c r="F109" s="10"/>
      <c r="G109" s="14"/>
      <c r="H109" s="14"/>
      <c r="I109" s="64"/>
      <c r="J109" s="72"/>
      <c r="K109" s="4"/>
      <c r="L109" s="14"/>
      <c r="M109" s="14"/>
      <c r="N109" s="14"/>
      <c r="O109" s="32"/>
      <c r="P109" s="89">
        <v>141</v>
      </c>
      <c r="Q109" s="60" t="s">
        <v>267</v>
      </c>
      <c r="R109" s="43" t="s">
        <v>389</v>
      </c>
      <c r="S109" s="44">
        <v>1500</v>
      </c>
      <c r="T109" s="52" t="s">
        <v>390</v>
      </c>
      <c r="U109" s="149"/>
      <c r="V109" s="69"/>
      <c r="W109" s="74"/>
      <c r="X109" s="20"/>
      <c r="Y109" s="21">
        <v>9757</v>
      </c>
      <c r="Z109" s="21" t="s">
        <v>391</v>
      </c>
      <c r="AA109" s="22">
        <v>29314990</v>
      </c>
      <c r="AB109" s="23">
        <v>913950613512336</v>
      </c>
      <c r="AC109" s="10"/>
    </row>
    <row r="110" spans="1:30" ht="28.5" customHeight="1">
      <c r="A110" s="5">
        <v>97</v>
      </c>
      <c r="B110" s="86"/>
      <c r="C110" s="54"/>
      <c r="D110" s="2"/>
      <c r="E110" s="19"/>
      <c r="F110" s="10"/>
      <c r="G110" s="14"/>
      <c r="H110" s="14"/>
      <c r="I110" s="64"/>
      <c r="J110" s="72"/>
      <c r="K110" s="4"/>
      <c r="L110" s="14"/>
      <c r="M110" s="14"/>
      <c r="N110" s="14"/>
      <c r="O110" s="32"/>
      <c r="P110" s="89">
        <v>5</v>
      </c>
      <c r="Q110" s="60" t="s">
        <v>89</v>
      </c>
      <c r="R110" s="43" t="s">
        <v>392</v>
      </c>
      <c r="S110" s="45">
        <v>15000</v>
      </c>
      <c r="T110" s="53" t="s">
        <v>393</v>
      </c>
      <c r="U110" s="150">
        <v>5</v>
      </c>
      <c r="V110" s="71" t="s">
        <v>394</v>
      </c>
      <c r="W110" s="74">
        <v>573000</v>
      </c>
      <c r="X110" s="118"/>
      <c r="Y110" s="21">
        <v>12621</v>
      </c>
      <c r="Z110" s="21" t="s">
        <v>395</v>
      </c>
      <c r="AA110" s="36"/>
      <c r="AB110" s="23">
        <v>913960611498678</v>
      </c>
      <c r="AC110" s="10"/>
    </row>
    <row r="111" spans="1:30" ht="28.5" customHeight="1">
      <c r="A111" s="5">
        <v>98</v>
      </c>
      <c r="B111" s="86"/>
      <c r="C111" s="54"/>
      <c r="D111" s="2"/>
      <c r="E111" s="19"/>
      <c r="F111" s="10"/>
      <c r="G111" s="14"/>
      <c r="H111" s="14"/>
      <c r="I111" s="64"/>
      <c r="J111" s="72"/>
      <c r="K111" s="4"/>
      <c r="L111" s="14"/>
      <c r="M111" s="14"/>
      <c r="N111" s="14"/>
      <c r="O111" s="32"/>
      <c r="P111" s="89">
        <v>170.08</v>
      </c>
      <c r="Q111" s="60" t="s">
        <v>267</v>
      </c>
      <c r="R111" s="43" t="s">
        <v>396</v>
      </c>
      <c r="S111" s="44">
        <v>500</v>
      </c>
      <c r="T111" s="52" t="s">
        <v>397</v>
      </c>
      <c r="U111" s="149"/>
      <c r="V111" s="69"/>
      <c r="W111" s="74"/>
      <c r="X111" s="20"/>
      <c r="Y111" s="21">
        <v>11875</v>
      </c>
      <c r="Z111" s="21" t="s">
        <v>398</v>
      </c>
      <c r="AA111" s="46">
        <v>29349990</v>
      </c>
      <c r="AB111" s="47">
        <v>913990326312897</v>
      </c>
      <c r="AC111" s="10"/>
    </row>
    <row r="112" spans="1:30" ht="28.5" customHeight="1">
      <c r="A112" s="5">
        <v>99</v>
      </c>
      <c r="B112" s="86"/>
      <c r="C112" s="54"/>
      <c r="D112" s="2"/>
      <c r="E112" s="19"/>
      <c r="F112" s="10"/>
      <c r="G112" s="14"/>
      <c r="H112" s="14"/>
      <c r="I112" s="64"/>
      <c r="J112" s="72"/>
      <c r="K112" s="4"/>
      <c r="L112" s="14"/>
      <c r="M112" s="14"/>
      <c r="N112" s="14"/>
      <c r="O112" s="32"/>
      <c r="P112" s="92">
        <v>20.6</v>
      </c>
      <c r="Q112" s="61" t="s">
        <v>13</v>
      </c>
      <c r="R112" s="43" t="s">
        <v>399</v>
      </c>
      <c r="S112" s="42">
        <v>2000</v>
      </c>
      <c r="T112" s="52" t="s">
        <v>400</v>
      </c>
      <c r="U112" s="149"/>
      <c r="V112" s="69"/>
      <c r="W112" s="74"/>
      <c r="X112" s="20"/>
      <c r="Y112" s="21">
        <v>12452</v>
      </c>
      <c r="Z112" s="21" t="s">
        <v>401</v>
      </c>
      <c r="AA112" s="22">
        <v>29181600</v>
      </c>
      <c r="AB112" s="23">
        <v>913961017884311</v>
      </c>
      <c r="AC112" s="2"/>
    </row>
    <row r="113" spans="1:29" ht="90">
      <c r="A113" s="5">
        <v>100</v>
      </c>
      <c r="B113" s="86"/>
      <c r="C113" s="54"/>
      <c r="D113" s="2"/>
      <c r="E113" s="19"/>
      <c r="F113" s="10"/>
      <c r="G113" s="14"/>
      <c r="H113" s="14"/>
      <c r="I113" s="64"/>
      <c r="J113" s="72"/>
      <c r="K113" s="4"/>
      <c r="L113" s="14"/>
      <c r="M113" s="14"/>
      <c r="N113" s="14"/>
      <c r="O113" s="32"/>
      <c r="P113" s="89">
        <v>450</v>
      </c>
      <c r="Q113" s="60" t="s">
        <v>267</v>
      </c>
      <c r="R113" s="43" t="s">
        <v>402</v>
      </c>
      <c r="S113" s="45">
        <v>100</v>
      </c>
      <c r="T113" s="53" t="s">
        <v>403</v>
      </c>
      <c r="U113" s="150">
        <v>465.64</v>
      </c>
      <c r="V113" s="71" t="s">
        <v>89</v>
      </c>
      <c r="W113" s="74">
        <v>355748.95999999996</v>
      </c>
      <c r="X113" s="114" t="s">
        <v>510</v>
      </c>
      <c r="Y113" s="21">
        <v>11551</v>
      </c>
      <c r="Z113" s="21" t="s">
        <v>404</v>
      </c>
      <c r="AA113" s="22">
        <v>29349990</v>
      </c>
      <c r="AB113" s="23">
        <v>913991115516363</v>
      </c>
      <c r="AC113" s="10"/>
    </row>
    <row r="114" spans="1:29" ht="64.5" customHeight="1">
      <c r="A114" s="5">
        <v>101</v>
      </c>
      <c r="B114" s="83"/>
      <c r="C114" s="51"/>
      <c r="D114" s="2"/>
      <c r="E114" s="19"/>
      <c r="F114" s="10"/>
      <c r="G114" s="14"/>
      <c r="H114" s="14"/>
      <c r="I114" s="64"/>
      <c r="J114" s="72"/>
      <c r="K114" s="4"/>
      <c r="L114" s="14"/>
      <c r="M114" s="14"/>
      <c r="N114" s="14"/>
      <c r="O114" s="32"/>
      <c r="P114" s="89">
        <v>996.5</v>
      </c>
      <c r="Q114" s="60" t="s">
        <v>267</v>
      </c>
      <c r="R114" s="43" t="s">
        <v>405</v>
      </c>
      <c r="S114" s="45">
        <v>200</v>
      </c>
      <c r="T114" s="53" t="s">
        <v>406</v>
      </c>
      <c r="U114" s="150">
        <v>997</v>
      </c>
      <c r="V114" s="71" t="s">
        <v>89</v>
      </c>
      <c r="W114" s="74">
        <v>1523416</v>
      </c>
      <c r="X114" s="121" t="s">
        <v>511</v>
      </c>
      <c r="Y114" s="21">
        <v>12105</v>
      </c>
      <c r="Z114" s="21" t="s">
        <v>407</v>
      </c>
      <c r="AA114" s="22">
        <v>29375000</v>
      </c>
      <c r="AB114" s="23">
        <v>913951215950643</v>
      </c>
      <c r="AC114" s="10"/>
    </row>
    <row r="115" spans="1:29" ht="28.5" customHeight="1">
      <c r="A115" s="5">
        <v>102</v>
      </c>
      <c r="B115" s="83"/>
      <c r="C115" s="51"/>
      <c r="D115" s="2"/>
      <c r="E115" s="19"/>
      <c r="F115" s="10"/>
      <c r="G115" s="14"/>
      <c r="H115" s="14"/>
      <c r="I115" s="64"/>
      <c r="J115" s="72"/>
      <c r="K115" s="4"/>
      <c r="L115" s="14"/>
      <c r="M115" s="14"/>
      <c r="N115" s="14"/>
      <c r="O115" s="32"/>
      <c r="P115" s="89">
        <v>256.5</v>
      </c>
      <c r="Q115" s="60" t="s">
        <v>267</v>
      </c>
      <c r="R115" s="43" t="s">
        <v>408</v>
      </c>
      <c r="S115" s="45">
        <v>1000</v>
      </c>
      <c r="T115" s="53" t="s">
        <v>406</v>
      </c>
      <c r="U115" s="150">
        <v>257</v>
      </c>
      <c r="V115" s="71" t="s">
        <v>89</v>
      </c>
      <c r="W115" s="74">
        <v>1963480</v>
      </c>
      <c r="X115" s="118"/>
      <c r="Y115" s="21">
        <v>12106</v>
      </c>
      <c r="Z115" s="21" t="s">
        <v>409</v>
      </c>
      <c r="AA115" s="22">
        <v>29375000</v>
      </c>
      <c r="AB115" s="23">
        <v>913950916562908</v>
      </c>
      <c r="AC115" s="10"/>
    </row>
    <row r="116" spans="1:29" ht="45" customHeight="1">
      <c r="A116" s="5">
        <v>103</v>
      </c>
      <c r="B116" s="83"/>
      <c r="C116" s="51"/>
      <c r="D116" s="2"/>
      <c r="E116" s="19"/>
      <c r="F116" s="10"/>
      <c r="G116" s="14"/>
      <c r="H116" s="14"/>
      <c r="I116" s="64"/>
      <c r="J116" s="72"/>
      <c r="K116" s="4"/>
      <c r="L116" s="14"/>
      <c r="M116" s="14"/>
      <c r="N116" s="14"/>
      <c r="O116" s="32"/>
      <c r="P116" s="89">
        <v>171</v>
      </c>
      <c r="Q116" s="60" t="s">
        <v>267</v>
      </c>
      <c r="R116" s="43" t="s">
        <v>410</v>
      </c>
      <c r="S116" s="45">
        <v>1000</v>
      </c>
      <c r="T116" s="53" t="s">
        <v>411</v>
      </c>
      <c r="U116" s="150">
        <v>175</v>
      </c>
      <c r="V116" s="71" t="s">
        <v>89</v>
      </c>
      <c r="W116" s="74">
        <v>1337000</v>
      </c>
      <c r="X116" s="122" t="s">
        <v>423</v>
      </c>
      <c r="Y116" s="21">
        <v>12471</v>
      </c>
      <c r="Z116" s="21" t="s">
        <v>412</v>
      </c>
      <c r="AA116" s="22">
        <v>29335990</v>
      </c>
      <c r="AB116" s="27">
        <v>913950811114760</v>
      </c>
      <c r="AC116" s="10"/>
    </row>
    <row r="117" spans="1:29" ht="28.5" customHeight="1">
      <c r="A117" s="5">
        <v>104</v>
      </c>
      <c r="B117" s="86"/>
      <c r="C117" s="54"/>
      <c r="D117" s="2"/>
      <c r="E117" s="19"/>
      <c r="F117" s="10"/>
      <c r="G117" s="14"/>
      <c r="H117" s="14"/>
      <c r="I117" s="64"/>
      <c r="J117" s="72"/>
      <c r="K117" s="4"/>
      <c r="L117" s="14"/>
      <c r="M117" s="14"/>
      <c r="N117" s="14"/>
      <c r="O117" s="32"/>
      <c r="P117" s="89">
        <v>7.1</v>
      </c>
      <c r="Q117" s="60" t="s">
        <v>89</v>
      </c>
      <c r="R117" s="43" t="s">
        <v>413</v>
      </c>
      <c r="S117" s="44">
        <v>3500</v>
      </c>
      <c r="T117" s="52" t="s">
        <v>414</v>
      </c>
      <c r="U117" s="149"/>
      <c r="V117" s="69"/>
      <c r="W117" s="74"/>
      <c r="X117" s="20"/>
      <c r="Y117" s="21">
        <v>12088</v>
      </c>
      <c r="Z117" s="21" t="s">
        <v>388</v>
      </c>
      <c r="AA117" s="22">
        <v>38089419</v>
      </c>
      <c r="AB117" s="23">
        <v>914000910520810</v>
      </c>
      <c r="AC117" s="10"/>
    </row>
    <row r="118" spans="1:29" ht="28.5" customHeight="1">
      <c r="A118" s="5">
        <v>105</v>
      </c>
      <c r="B118" s="83"/>
      <c r="C118" s="51"/>
      <c r="D118" s="2"/>
      <c r="E118" s="19"/>
      <c r="F118" s="2"/>
      <c r="G118" s="14"/>
      <c r="H118" s="14"/>
      <c r="I118" s="64"/>
      <c r="J118" s="72"/>
      <c r="K118" s="4"/>
      <c r="L118" s="14"/>
      <c r="M118" s="14"/>
      <c r="N118" s="14"/>
      <c r="O118" s="32"/>
      <c r="P118" s="89">
        <v>650</v>
      </c>
      <c r="Q118" s="60" t="s">
        <v>89</v>
      </c>
      <c r="R118" s="43" t="s">
        <v>415</v>
      </c>
      <c r="S118" s="45">
        <v>500</v>
      </c>
      <c r="T118" s="53" t="s">
        <v>416</v>
      </c>
      <c r="U118" s="149">
        <v>640</v>
      </c>
      <c r="V118" s="69" t="s">
        <v>509</v>
      </c>
      <c r="W118" s="75"/>
      <c r="X118" s="118"/>
      <c r="Y118" s="21">
        <v>12499</v>
      </c>
      <c r="Z118" s="21" t="s">
        <v>417</v>
      </c>
      <c r="AA118" s="22">
        <v>29146990</v>
      </c>
      <c r="AB118" s="23">
        <v>913980207859846</v>
      </c>
      <c r="AC118" s="10"/>
    </row>
    <row r="119" spans="1:29" ht="28.5" customHeight="1">
      <c r="B119" s="82"/>
      <c r="C119" s="55"/>
      <c r="D119" s="10"/>
      <c r="E119" s="48"/>
      <c r="F119" s="10"/>
      <c r="G119" s="10"/>
      <c r="H119" s="10"/>
      <c r="I119" s="66"/>
      <c r="J119" s="72">
        <v>41330543</v>
      </c>
      <c r="K119" s="4"/>
      <c r="L119" s="10"/>
      <c r="M119" s="10"/>
      <c r="N119" s="10"/>
      <c r="O119" s="32"/>
      <c r="P119" s="94"/>
      <c r="Q119" s="316" t="s">
        <v>500</v>
      </c>
      <c r="R119" s="317"/>
      <c r="S119" s="317"/>
      <c r="T119" s="317"/>
      <c r="U119" s="317"/>
      <c r="V119" s="317"/>
      <c r="W119" s="317"/>
      <c r="X119" s="317"/>
      <c r="Y119" s="317"/>
      <c r="Z119" s="317"/>
      <c r="AA119" s="317"/>
      <c r="AB119" s="317"/>
    </row>
    <row r="120" spans="1:29" ht="180">
      <c r="B120" s="82"/>
      <c r="C120" s="55"/>
      <c r="D120" s="10"/>
      <c r="E120" s="48"/>
      <c r="F120" s="10"/>
      <c r="G120" s="10"/>
      <c r="H120" s="10"/>
      <c r="I120" s="66"/>
      <c r="J120" s="72">
        <v>41330544</v>
      </c>
      <c r="K120" s="4"/>
      <c r="L120" s="10"/>
      <c r="M120" s="10"/>
      <c r="N120" s="10"/>
      <c r="O120" s="32"/>
      <c r="P120" s="89">
        <v>350</v>
      </c>
      <c r="Q120" s="159" t="s">
        <v>267</v>
      </c>
      <c r="R120" s="160" t="s">
        <v>490</v>
      </c>
      <c r="S120" s="161">
        <v>100</v>
      </c>
      <c r="T120" s="163" t="s">
        <v>491</v>
      </c>
      <c r="U120" s="169">
        <v>367.5</v>
      </c>
      <c r="V120" s="172" t="s">
        <v>503</v>
      </c>
      <c r="W120" s="171"/>
      <c r="X120" s="114" t="s">
        <v>504</v>
      </c>
      <c r="Y120" s="162">
        <v>11092</v>
      </c>
      <c r="Z120" s="162" t="s">
        <v>492</v>
      </c>
      <c r="AA120" s="22">
        <v>29419090</v>
      </c>
      <c r="AB120" s="23">
        <v>914010121434030</v>
      </c>
      <c r="AC120" s="10"/>
    </row>
    <row r="121" spans="1:29" ht="62.25" customHeight="1">
      <c r="B121" s="82"/>
      <c r="C121" s="55"/>
      <c r="D121" s="10"/>
      <c r="E121" s="48"/>
      <c r="F121" s="10"/>
      <c r="G121" s="10"/>
      <c r="H121" s="10"/>
      <c r="I121" s="66"/>
      <c r="J121" s="72">
        <v>41330545</v>
      </c>
      <c r="K121" s="4"/>
      <c r="L121" s="10"/>
      <c r="M121" s="10"/>
      <c r="N121" s="10"/>
      <c r="O121" s="32"/>
      <c r="P121" s="89">
        <v>1165</v>
      </c>
      <c r="Q121" s="159" t="s">
        <v>267</v>
      </c>
      <c r="R121" s="160" t="s">
        <v>494</v>
      </c>
      <c r="S121" s="161">
        <v>50</v>
      </c>
      <c r="T121" s="163" t="s">
        <v>495</v>
      </c>
      <c r="U121" s="169">
        <v>7700</v>
      </c>
      <c r="V121" s="170" t="s">
        <v>502</v>
      </c>
      <c r="W121" s="171"/>
      <c r="X121" s="114" t="s">
        <v>501</v>
      </c>
      <c r="Y121" s="162">
        <v>11160</v>
      </c>
      <c r="Z121" s="162" t="s">
        <v>493</v>
      </c>
      <c r="AA121" s="22">
        <v>29332990</v>
      </c>
      <c r="AB121" s="23">
        <v>913971106874206</v>
      </c>
    </row>
    <row r="122" spans="1:29" ht="28.5" customHeight="1">
      <c r="B122" s="82"/>
      <c r="C122" s="55"/>
      <c r="D122" s="10"/>
      <c r="E122" s="48"/>
      <c r="F122" s="10"/>
      <c r="G122" s="10"/>
      <c r="H122" s="10"/>
      <c r="I122" s="66"/>
      <c r="J122" s="72">
        <v>41330546</v>
      </c>
      <c r="K122" s="4"/>
      <c r="L122" s="10"/>
      <c r="M122" s="10"/>
      <c r="N122" s="10"/>
      <c r="O122" s="32"/>
      <c r="P122" s="89" t="s">
        <v>499</v>
      </c>
      <c r="Q122" s="159" t="s">
        <v>89</v>
      </c>
      <c r="R122" s="160" t="s">
        <v>497</v>
      </c>
      <c r="S122" s="161">
        <v>700</v>
      </c>
      <c r="T122" s="163" t="s">
        <v>498</v>
      </c>
      <c r="U122" s="169">
        <v>22</v>
      </c>
      <c r="V122" s="170" t="s">
        <v>459</v>
      </c>
      <c r="W122" s="171"/>
      <c r="X122" s="118"/>
      <c r="Y122" s="165">
        <v>11870</v>
      </c>
      <c r="Z122" s="165" t="s">
        <v>496</v>
      </c>
      <c r="AA122" s="166">
        <v>29314990</v>
      </c>
      <c r="AB122" s="167">
        <v>914010606633609</v>
      </c>
    </row>
    <row r="123" spans="1:29" ht="28.5" customHeight="1">
      <c r="B123" s="82"/>
      <c r="C123" s="55"/>
      <c r="D123" s="10"/>
      <c r="E123" s="48"/>
      <c r="F123" s="10"/>
      <c r="G123" s="10"/>
      <c r="H123" s="10"/>
      <c r="I123" s="66"/>
      <c r="J123" s="72">
        <v>41330547</v>
      </c>
      <c r="K123" s="4"/>
      <c r="L123" s="10"/>
      <c r="M123" s="10"/>
      <c r="N123" s="10"/>
      <c r="O123" s="32"/>
      <c r="P123" s="94"/>
      <c r="Q123" s="55"/>
      <c r="R123" s="10"/>
      <c r="S123" s="48"/>
      <c r="T123" s="10"/>
      <c r="U123" s="140"/>
      <c r="V123" s="68"/>
      <c r="W123" s="72" t="e">
        <f t="shared" ref="W123:W125" si="6">SUM(W10:W113)</f>
        <v>#VALUE!</v>
      </c>
      <c r="X123" s="4"/>
      <c r="Y123" s="168"/>
      <c r="Z123" s="168"/>
      <c r="AA123" s="168"/>
      <c r="AB123" s="168"/>
      <c r="AC123" s="168"/>
    </row>
    <row r="124" spans="1:29" ht="28.5" customHeight="1">
      <c r="B124" s="82"/>
      <c r="C124" s="55"/>
      <c r="D124" s="10"/>
      <c r="E124" s="48"/>
      <c r="F124" s="10"/>
      <c r="G124" s="10"/>
      <c r="H124" s="10"/>
      <c r="I124" s="66"/>
      <c r="J124" s="72">
        <v>41330548</v>
      </c>
      <c r="K124" s="4"/>
      <c r="L124" s="10"/>
      <c r="M124" s="10"/>
      <c r="N124" s="10"/>
      <c r="O124" s="32"/>
      <c r="P124" s="94"/>
      <c r="Q124" s="55"/>
      <c r="R124" s="10"/>
      <c r="S124" s="48"/>
      <c r="T124" s="10"/>
      <c r="U124" s="140"/>
      <c r="V124" s="68"/>
      <c r="W124" s="72" t="e">
        <f t="shared" si="6"/>
        <v>#VALUE!</v>
      </c>
      <c r="X124" s="4"/>
      <c r="Y124" s="168"/>
      <c r="Z124" s="168"/>
      <c r="AA124" s="168"/>
      <c r="AB124" s="168"/>
      <c r="AC124" s="168"/>
    </row>
    <row r="125" spans="1:29" ht="28.5" customHeight="1">
      <c r="B125" s="82"/>
      <c r="C125" s="55"/>
      <c r="D125" s="10"/>
      <c r="E125" s="48"/>
      <c r="F125" s="10"/>
      <c r="G125" s="10"/>
      <c r="H125" s="10"/>
      <c r="I125" s="66"/>
      <c r="J125" s="72">
        <v>41330549</v>
      </c>
      <c r="K125" s="4"/>
      <c r="L125" s="10"/>
      <c r="M125" s="10"/>
      <c r="N125" s="10"/>
      <c r="O125" s="32"/>
      <c r="P125" s="94"/>
      <c r="Q125" s="55"/>
      <c r="R125" s="10"/>
      <c r="S125" s="48"/>
      <c r="T125" s="10"/>
      <c r="U125" s="140"/>
      <c r="V125" s="68"/>
      <c r="W125" s="72" t="e">
        <f t="shared" si="6"/>
        <v>#VALUE!</v>
      </c>
      <c r="X125" s="4"/>
      <c r="Y125" s="168"/>
      <c r="Z125" s="168"/>
      <c r="AA125" s="168"/>
      <c r="AB125" s="168"/>
      <c r="AC125" s="168"/>
    </row>
  </sheetData>
  <autoFilter ref="A1:AC118" xr:uid="{00000000-0009-0000-0000-000000000000}">
    <sortState xmlns:xlrd2="http://schemas.microsoft.com/office/spreadsheetml/2017/richdata2" ref="A2:AC118">
      <sortCondition ref="D1:D118"/>
    </sortState>
  </autoFilter>
  <mergeCells count="1">
    <mergeCell ref="Q119:AB1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118E7-753D-4963-B49F-EA1303B12A1D}">
  <dimension ref="A1:AA34"/>
  <sheetViews>
    <sheetView workbookViewId="0">
      <pane xSplit="12" ySplit="8" topLeftCell="R9" activePane="bottomRight" state="frozen"/>
      <selection pane="topRight" activeCell="N1" sqref="N1"/>
      <selection pane="bottomLeft" activeCell="A9" sqref="A9"/>
      <selection pane="bottomRight" activeCell="T3" sqref="T3:U3"/>
    </sheetView>
  </sheetViews>
  <sheetFormatPr defaultRowHeight="15"/>
  <cols>
    <col min="1" max="1" width="5.7109375" customWidth="1"/>
    <col min="3" max="3" width="6.7109375" customWidth="1"/>
    <col min="4" max="4" width="14.28515625" customWidth="1"/>
    <col min="6" max="6" width="14.28515625" customWidth="1"/>
    <col min="7" max="7" width="11.28515625" customWidth="1"/>
    <col min="9" max="9" width="0" hidden="1" customWidth="1"/>
    <col min="10" max="10" width="14.5703125" customWidth="1"/>
    <col min="11" max="11" width="12.28515625" bestFit="1" customWidth="1"/>
    <col min="12" max="14" width="0" hidden="1" customWidth="1"/>
    <col min="17" max="17" width="16" style="1" customWidth="1"/>
    <col min="18" max="18" width="17.42578125" customWidth="1"/>
    <col min="19" max="19" width="15.28515625" customWidth="1"/>
    <col min="20" max="20" width="12.42578125" customWidth="1"/>
    <col min="21" max="21" width="10.28515625" customWidth="1"/>
    <col min="22" max="22" width="16.7109375" customWidth="1"/>
    <col min="23" max="23" width="12.28515625" bestFit="1" customWidth="1"/>
    <col min="24" max="24" width="11.85546875" bestFit="1" customWidth="1"/>
  </cols>
  <sheetData>
    <row r="1" spans="1:27" ht="46.5" customHeight="1">
      <c r="A1" s="1"/>
      <c r="B1" s="177" t="s">
        <v>0</v>
      </c>
      <c r="C1" s="178"/>
      <c r="D1" s="2" t="s">
        <v>1</v>
      </c>
      <c r="E1" s="3" t="s">
        <v>2</v>
      </c>
      <c r="F1" s="2" t="s">
        <v>3</v>
      </c>
      <c r="G1" s="2" t="s">
        <v>429</v>
      </c>
      <c r="H1" s="62" t="s">
        <v>426</v>
      </c>
      <c r="I1" s="72" t="s">
        <v>4</v>
      </c>
      <c r="J1" s="2" t="s">
        <v>5</v>
      </c>
      <c r="K1" s="5" t="s">
        <v>6</v>
      </c>
      <c r="L1" s="2" t="s">
        <v>7</v>
      </c>
      <c r="M1" s="2" t="s">
        <v>8</v>
      </c>
      <c r="N1" s="6" t="s">
        <v>9</v>
      </c>
      <c r="O1" s="88" t="s">
        <v>0</v>
      </c>
      <c r="P1" s="16" t="s">
        <v>515</v>
      </c>
      <c r="Q1" s="2" t="s">
        <v>1</v>
      </c>
      <c r="R1" s="7" t="s">
        <v>2</v>
      </c>
      <c r="S1" s="2" t="s">
        <v>3</v>
      </c>
      <c r="T1" s="140" t="s">
        <v>4</v>
      </c>
      <c r="U1" s="72" t="s">
        <v>10</v>
      </c>
      <c r="V1" s="2" t="s">
        <v>5</v>
      </c>
      <c r="W1" s="5" t="s">
        <v>6</v>
      </c>
      <c r="X1" s="8" t="s">
        <v>7</v>
      </c>
      <c r="Y1" s="8" t="s">
        <v>8</v>
      </c>
      <c r="Z1" s="9" t="s">
        <v>9</v>
      </c>
      <c r="AA1" s="10"/>
    </row>
    <row r="2" spans="1:27" ht="45" customHeight="1">
      <c r="A2" s="1"/>
      <c r="B2" s="58"/>
      <c r="C2" s="58"/>
      <c r="D2" s="12" t="s">
        <v>512</v>
      </c>
      <c r="E2" s="11"/>
      <c r="F2" s="11"/>
      <c r="G2" s="11"/>
      <c r="H2" s="63"/>
      <c r="I2" s="58"/>
      <c r="J2" s="11"/>
      <c r="K2" s="11"/>
      <c r="L2" s="11"/>
      <c r="M2" s="11"/>
      <c r="N2" s="13"/>
      <c r="O2" s="58"/>
      <c r="P2" s="58"/>
      <c r="Q2" s="11" t="s">
        <v>513</v>
      </c>
      <c r="R2" s="11"/>
      <c r="S2" s="11"/>
      <c r="T2" s="141"/>
      <c r="U2" s="58"/>
      <c r="V2" s="11"/>
      <c r="W2" s="11"/>
      <c r="X2" s="11"/>
      <c r="Y2" s="11"/>
      <c r="Z2" s="13"/>
      <c r="AA2" s="10"/>
    </row>
    <row r="3" spans="1:27" ht="90">
      <c r="A3" s="5"/>
      <c r="B3" s="88"/>
      <c r="C3" s="76" t="s">
        <v>13</v>
      </c>
      <c r="D3" s="2"/>
      <c r="E3" s="19"/>
      <c r="F3" s="50"/>
      <c r="G3" s="20"/>
      <c r="H3" s="64"/>
      <c r="I3" s="72"/>
      <c r="J3" s="176"/>
      <c r="K3" s="14"/>
      <c r="L3" s="14"/>
      <c r="M3" s="14"/>
      <c r="N3" s="32"/>
      <c r="O3" s="91" t="s">
        <v>518</v>
      </c>
      <c r="P3" s="76" t="s">
        <v>13</v>
      </c>
      <c r="Q3" s="18" t="s">
        <v>519</v>
      </c>
      <c r="R3" s="179" t="s">
        <v>517</v>
      </c>
      <c r="S3" s="50" t="s">
        <v>514</v>
      </c>
      <c r="T3" s="142" t="s">
        <v>516</v>
      </c>
      <c r="U3" s="180" t="s">
        <v>502</v>
      </c>
      <c r="V3" s="20"/>
      <c r="W3" s="21"/>
      <c r="X3" s="21"/>
      <c r="Y3" s="21"/>
      <c r="Z3" s="164"/>
      <c r="AA3" s="28"/>
    </row>
    <row r="4" spans="1:27" ht="63.75">
      <c r="A4" s="5"/>
      <c r="B4" s="88">
        <v>157.5</v>
      </c>
      <c r="C4" s="76" t="s">
        <v>13</v>
      </c>
      <c r="D4" s="2" t="s">
        <v>520</v>
      </c>
      <c r="E4" s="97">
        <v>7000</v>
      </c>
      <c r="F4" s="50" t="s">
        <v>521</v>
      </c>
      <c r="G4" s="16">
        <v>166</v>
      </c>
      <c r="H4" s="64" t="s">
        <v>13</v>
      </c>
      <c r="I4" s="72"/>
      <c r="J4" s="122" t="s">
        <v>523</v>
      </c>
      <c r="K4" s="14">
        <v>12669</v>
      </c>
      <c r="L4" s="14"/>
      <c r="M4" s="14"/>
      <c r="N4" s="32"/>
      <c r="O4" s="88">
        <v>180</v>
      </c>
      <c r="P4" s="76" t="s">
        <v>13</v>
      </c>
      <c r="Q4" s="2" t="s">
        <v>520</v>
      </c>
      <c r="R4" s="97">
        <v>3000</v>
      </c>
      <c r="S4" s="50" t="s">
        <v>521</v>
      </c>
      <c r="T4" s="16">
        <v>180</v>
      </c>
      <c r="U4" s="16" t="s">
        <v>522</v>
      </c>
      <c r="V4" s="118"/>
      <c r="W4" s="21">
        <v>12716</v>
      </c>
      <c r="X4" s="21" t="s">
        <v>524</v>
      </c>
      <c r="Y4" s="21"/>
      <c r="Z4" s="164"/>
      <c r="AA4" s="28"/>
    </row>
    <row r="5" spans="1:27" ht="15.75">
      <c r="A5" s="5"/>
      <c r="B5" s="88"/>
      <c r="C5" s="51"/>
      <c r="D5" s="2"/>
      <c r="E5" s="19"/>
      <c r="F5" s="50"/>
      <c r="G5" s="20"/>
      <c r="H5" s="64"/>
      <c r="I5" s="72"/>
      <c r="J5" s="176"/>
      <c r="K5" s="14"/>
      <c r="L5" s="14"/>
      <c r="M5" s="14"/>
      <c r="N5" s="32"/>
      <c r="O5" s="88"/>
      <c r="P5" s="51"/>
      <c r="Q5" s="18"/>
      <c r="R5" s="19"/>
      <c r="S5" s="50"/>
      <c r="T5" s="149"/>
      <c r="U5" s="74"/>
      <c r="V5" s="20"/>
      <c r="W5" s="21"/>
      <c r="X5" s="21"/>
      <c r="Y5" s="21"/>
      <c r="Z5" s="164"/>
      <c r="AA5" s="28"/>
    </row>
    <row r="6" spans="1:27" ht="15.75">
      <c r="A6" s="5"/>
      <c r="B6" s="88"/>
      <c r="C6" s="51"/>
      <c r="D6" s="2"/>
      <c r="E6" s="19"/>
      <c r="F6" s="50"/>
      <c r="G6" s="20"/>
      <c r="H6" s="64"/>
      <c r="I6" s="72"/>
      <c r="J6" s="4"/>
      <c r="K6" s="14"/>
      <c r="L6" s="14"/>
      <c r="M6" s="14"/>
      <c r="N6" s="32"/>
      <c r="O6" s="88"/>
      <c r="P6" s="51"/>
      <c r="Q6" s="18"/>
      <c r="R6" s="19"/>
      <c r="S6" s="50"/>
      <c r="T6" s="149"/>
      <c r="U6" s="74"/>
      <c r="V6" s="20"/>
      <c r="W6" s="21"/>
      <c r="X6" s="21"/>
      <c r="Y6" s="21"/>
      <c r="Z6" s="164"/>
      <c r="AA6" s="28"/>
    </row>
    <row r="7" spans="1:27" ht="15.75">
      <c r="A7" s="5"/>
      <c r="B7" s="88"/>
      <c r="C7" s="51"/>
      <c r="D7" s="2"/>
      <c r="E7" s="19"/>
      <c r="F7" s="50"/>
      <c r="G7" s="20"/>
      <c r="H7" s="64"/>
      <c r="I7" s="72"/>
      <c r="J7" s="176"/>
      <c r="K7" s="14"/>
      <c r="L7" s="14"/>
      <c r="M7" s="14"/>
      <c r="N7" s="32"/>
      <c r="O7" s="88"/>
      <c r="P7" s="51"/>
      <c r="Q7" s="18"/>
      <c r="R7" s="19"/>
      <c r="S7" s="50"/>
      <c r="T7" s="149"/>
      <c r="U7" s="74"/>
      <c r="V7" s="20"/>
      <c r="W7" s="21"/>
      <c r="X7" s="21"/>
      <c r="Y7" s="21"/>
      <c r="Z7" s="164"/>
      <c r="AA7" s="28"/>
    </row>
    <row r="8" spans="1:27" ht="15.75">
      <c r="A8" s="5"/>
      <c r="B8" s="88"/>
      <c r="C8" s="51"/>
      <c r="D8" s="2"/>
      <c r="E8" s="19"/>
      <c r="F8" s="50"/>
      <c r="G8" s="20"/>
      <c r="H8" s="64"/>
      <c r="I8" s="72"/>
      <c r="J8" s="4"/>
      <c r="K8" s="14"/>
      <c r="L8" s="14"/>
      <c r="M8" s="14"/>
      <c r="N8" s="32"/>
      <c r="O8" s="88"/>
      <c r="P8" s="51"/>
      <c r="Q8" s="18"/>
      <c r="R8" s="19"/>
      <c r="S8" s="50"/>
      <c r="T8" s="149"/>
      <c r="U8" s="74"/>
      <c r="V8" s="20"/>
      <c r="W8" s="21"/>
      <c r="X8" s="21"/>
      <c r="Y8" s="21"/>
      <c r="Z8" s="164"/>
      <c r="AA8" s="28"/>
    </row>
    <row r="9" spans="1:27" ht="15.75">
      <c r="A9" s="5"/>
      <c r="B9" s="88"/>
      <c r="C9" s="51"/>
      <c r="D9" s="2"/>
      <c r="E9" s="19"/>
      <c r="F9" s="50"/>
      <c r="G9" s="20"/>
      <c r="H9" s="64"/>
      <c r="I9" s="72"/>
      <c r="J9" s="176"/>
      <c r="K9" s="14"/>
      <c r="L9" s="14"/>
      <c r="M9" s="14"/>
      <c r="N9" s="32"/>
      <c r="O9" s="88"/>
      <c r="P9" s="51"/>
      <c r="Q9" s="18"/>
      <c r="R9" s="19"/>
      <c r="S9" s="50"/>
      <c r="T9" s="149"/>
      <c r="U9" s="74"/>
      <c r="V9" s="20"/>
      <c r="W9" s="21"/>
      <c r="X9" s="21"/>
      <c r="Y9" s="21"/>
      <c r="Z9" s="164"/>
      <c r="AA9" s="28"/>
    </row>
    <row r="10" spans="1:27" ht="15.75">
      <c r="A10" s="5"/>
      <c r="B10" s="88"/>
      <c r="C10" s="51"/>
      <c r="D10" s="2"/>
      <c r="E10" s="19"/>
      <c r="F10" s="50"/>
      <c r="G10" s="20"/>
      <c r="H10" s="64"/>
      <c r="I10" s="72"/>
      <c r="J10" s="4"/>
      <c r="K10" s="14"/>
      <c r="L10" s="14"/>
      <c r="M10" s="14"/>
      <c r="N10" s="32"/>
      <c r="O10" s="88"/>
      <c r="P10" s="51"/>
      <c r="Q10" s="18"/>
      <c r="R10" s="19"/>
      <c r="S10" s="50"/>
      <c r="T10" s="149"/>
      <c r="U10" s="74"/>
      <c r="V10" s="20"/>
      <c r="W10" s="21"/>
      <c r="X10" s="21"/>
      <c r="Y10" s="21"/>
      <c r="Z10" s="164"/>
      <c r="AA10" s="28"/>
    </row>
    <row r="11" spans="1:27" ht="15.75">
      <c r="A11" s="5"/>
      <c r="B11" s="88"/>
      <c r="C11" s="51"/>
      <c r="D11" s="2"/>
      <c r="E11" s="19"/>
      <c r="F11" s="50"/>
      <c r="G11" s="20"/>
      <c r="H11" s="64"/>
      <c r="I11" s="72"/>
      <c r="J11" s="176"/>
      <c r="K11" s="14"/>
      <c r="L11" s="14"/>
      <c r="M11" s="14"/>
      <c r="N11" s="32"/>
      <c r="O11" s="88"/>
      <c r="P11" s="51"/>
      <c r="Q11" s="18"/>
      <c r="R11" s="19"/>
      <c r="S11" s="50"/>
      <c r="T11" s="149"/>
      <c r="U11" s="74"/>
      <c r="V11" s="20"/>
      <c r="W11" s="21"/>
      <c r="X11" s="21"/>
      <c r="Y11" s="21"/>
      <c r="Z11" s="164"/>
      <c r="AA11" s="28"/>
    </row>
    <row r="12" spans="1:27" ht="15.75">
      <c r="A12" s="5"/>
      <c r="B12" s="88"/>
      <c r="C12" s="51"/>
      <c r="D12" s="2"/>
      <c r="E12" s="19"/>
      <c r="F12" s="50"/>
      <c r="G12" s="20"/>
      <c r="H12" s="64"/>
      <c r="I12" s="72"/>
      <c r="J12" s="4"/>
      <c r="K12" s="14"/>
      <c r="L12" s="14"/>
      <c r="M12" s="14"/>
      <c r="N12" s="32"/>
      <c r="O12" s="88"/>
      <c r="P12" s="51"/>
      <c r="Q12" s="18"/>
      <c r="R12" s="19"/>
      <c r="S12" s="50"/>
      <c r="T12" s="149"/>
      <c r="U12" s="74"/>
      <c r="V12" s="20"/>
      <c r="W12" s="21"/>
      <c r="X12" s="21"/>
      <c r="Y12" s="21"/>
      <c r="Z12" s="164"/>
      <c r="AA12" s="28"/>
    </row>
    <row r="13" spans="1:27" ht="15.75">
      <c r="A13" s="5"/>
      <c r="B13" s="88"/>
      <c r="C13" s="51"/>
      <c r="D13" s="2"/>
      <c r="E13" s="19"/>
      <c r="F13" s="50"/>
      <c r="G13" s="20"/>
      <c r="H13" s="64"/>
      <c r="I13" s="72"/>
      <c r="J13" s="176"/>
      <c r="K13" s="14"/>
      <c r="L13" s="14"/>
      <c r="M13" s="14"/>
      <c r="N13" s="32"/>
      <c r="O13" s="88"/>
      <c r="P13" s="51"/>
      <c r="Q13" s="18"/>
      <c r="R13" s="19"/>
      <c r="S13" s="50"/>
      <c r="T13" s="149"/>
      <c r="U13" s="74"/>
      <c r="V13" s="20"/>
      <c r="W13" s="21"/>
      <c r="X13" s="21"/>
      <c r="Y13" s="21"/>
      <c r="Z13" s="164"/>
      <c r="AA13" s="28"/>
    </row>
    <row r="14" spans="1:27" ht="15.75">
      <c r="A14" s="5"/>
      <c r="B14" s="88"/>
      <c r="C14" s="51"/>
      <c r="D14" s="2"/>
      <c r="E14" s="19"/>
      <c r="F14" s="50"/>
      <c r="G14" s="20"/>
      <c r="H14" s="64"/>
      <c r="I14" s="72"/>
      <c r="J14" s="4"/>
      <c r="K14" s="14"/>
      <c r="L14" s="14"/>
      <c r="M14" s="14"/>
      <c r="N14" s="32"/>
      <c r="O14" s="88"/>
      <c r="P14" s="51"/>
      <c r="Q14" s="18"/>
      <c r="R14" s="19"/>
      <c r="S14" s="50"/>
      <c r="T14" s="149"/>
      <c r="U14" s="74"/>
      <c r="V14" s="20"/>
      <c r="W14" s="21"/>
      <c r="X14" s="21"/>
      <c r="Y14" s="21"/>
      <c r="Z14" s="164"/>
      <c r="AA14" s="28"/>
    </row>
    <row r="15" spans="1:27" ht="15.75">
      <c r="A15" s="5"/>
      <c r="B15" s="88"/>
      <c r="C15" s="51"/>
      <c r="D15" s="2"/>
      <c r="E15" s="19"/>
      <c r="F15" s="50"/>
      <c r="G15" s="20"/>
      <c r="H15" s="64"/>
      <c r="I15" s="72"/>
      <c r="J15" s="176"/>
      <c r="K15" s="14"/>
      <c r="L15" s="14"/>
      <c r="M15" s="14"/>
      <c r="N15" s="32"/>
      <c r="O15" s="88"/>
      <c r="P15" s="51"/>
      <c r="Q15" s="18"/>
      <c r="R15" s="19"/>
      <c r="S15" s="50"/>
      <c r="T15" s="149"/>
      <c r="U15" s="74"/>
      <c r="V15" s="20"/>
      <c r="W15" s="21"/>
      <c r="X15" s="21"/>
      <c r="Y15" s="21"/>
      <c r="Z15" s="164"/>
      <c r="AA15" s="28"/>
    </row>
    <row r="16" spans="1:27" ht="15.75">
      <c r="A16" s="5"/>
      <c r="B16" s="88"/>
      <c r="C16" s="51"/>
      <c r="D16" s="2"/>
      <c r="E16" s="19"/>
      <c r="F16" s="50"/>
      <c r="G16" s="20"/>
      <c r="H16" s="64"/>
      <c r="I16" s="72"/>
      <c r="J16" s="4"/>
      <c r="K16" s="14"/>
      <c r="L16" s="14"/>
      <c r="M16" s="14"/>
      <c r="N16" s="32"/>
      <c r="O16" s="88"/>
      <c r="P16" s="51"/>
      <c r="Q16" s="18"/>
      <c r="R16" s="19"/>
      <c r="S16" s="50"/>
      <c r="T16" s="149"/>
      <c r="U16" s="74"/>
      <c r="V16" s="20"/>
      <c r="W16" s="21"/>
      <c r="X16" s="21"/>
      <c r="Y16" s="21"/>
      <c r="Z16" s="164"/>
      <c r="AA16" s="28"/>
    </row>
    <row r="17" spans="1:27" ht="15.75">
      <c r="A17" s="5"/>
      <c r="B17" s="88"/>
      <c r="C17" s="51"/>
      <c r="D17" s="2"/>
      <c r="E17" s="19"/>
      <c r="F17" s="50"/>
      <c r="G17" s="20"/>
      <c r="H17" s="64"/>
      <c r="I17" s="72"/>
      <c r="J17" s="176"/>
      <c r="K17" s="14"/>
      <c r="L17" s="14"/>
      <c r="M17" s="14"/>
      <c r="N17" s="32"/>
      <c r="O17" s="88"/>
      <c r="P17" s="51"/>
      <c r="Q17" s="18"/>
      <c r="R17" s="19"/>
      <c r="S17" s="50"/>
      <c r="T17" s="149"/>
      <c r="U17" s="74"/>
      <c r="V17" s="20"/>
      <c r="W17" s="21"/>
      <c r="X17" s="21"/>
      <c r="Y17" s="21"/>
      <c r="Z17" s="164"/>
      <c r="AA17" s="28"/>
    </row>
    <row r="18" spans="1:27" ht="15.75">
      <c r="A18" s="5"/>
      <c r="B18" s="88"/>
      <c r="C18" s="51"/>
      <c r="D18" s="2"/>
      <c r="E18" s="19"/>
      <c r="F18" s="50"/>
      <c r="G18" s="20"/>
      <c r="H18" s="64"/>
      <c r="I18" s="72"/>
      <c r="J18" s="4"/>
      <c r="K18" s="14"/>
      <c r="L18" s="14"/>
      <c r="M18" s="14"/>
      <c r="N18" s="32"/>
      <c r="O18" s="88"/>
      <c r="P18" s="51"/>
      <c r="Q18" s="18"/>
      <c r="R18" s="19"/>
      <c r="S18" s="50"/>
      <c r="T18" s="149"/>
      <c r="U18" s="74"/>
      <c r="V18" s="20"/>
      <c r="W18" s="21"/>
      <c r="X18" s="21"/>
      <c r="Y18" s="21"/>
      <c r="Z18" s="164"/>
      <c r="AA18" s="28"/>
    </row>
    <row r="19" spans="1:27" ht="15.75">
      <c r="A19" s="5"/>
      <c r="B19" s="88"/>
      <c r="C19" s="51"/>
      <c r="D19" s="2"/>
      <c r="E19" s="19"/>
      <c r="F19" s="50"/>
      <c r="G19" s="20"/>
      <c r="H19" s="64"/>
      <c r="I19" s="72"/>
      <c r="J19" s="176"/>
      <c r="K19" s="14"/>
      <c r="L19" s="14"/>
      <c r="M19" s="14"/>
      <c r="N19" s="32"/>
      <c r="O19" s="88"/>
      <c r="P19" s="51"/>
      <c r="Q19" s="18"/>
      <c r="R19" s="19"/>
      <c r="S19" s="50"/>
      <c r="T19" s="149"/>
      <c r="U19" s="74"/>
      <c r="V19" s="20"/>
      <c r="W19" s="21"/>
      <c r="X19" s="21"/>
      <c r="Y19" s="21"/>
      <c r="Z19" s="164"/>
      <c r="AA19" s="28"/>
    </row>
    <row r="20" spans="1:27" ht="15.75">
      <c r="A20" s="5"/>
      <c r="B20" s="88"/>
      <c r="C20" s="51"/>
      <c r="D20" s="2"/>
      <c r="E20" s="19"/>
      <c r="F20" s="50"/>
      <c r="G20" s="20"/>
      <c r="H20" s="64"/>
      <c r="I20" s="72"/>
      <c r="J20" s="4"/>
      <c r="K20" s="14"/>
      <c r="L20" s="14"/>
      <c r="M20" s="14"/>
      <c r="N20" s="32"/>
      <c r="O20" s="88"/>
      <c r="P20" s="51"/>
      <c r="Q20" s="18"/>
      <c r="R20" s="19"/>
      <c r="S20" s="50"/>
      <c r="T20" s="149"/>
      <c r="U20" s="74"/>
      <c r="V20" s="20"/>
      <c r="W20" s="21"/>
      <c r="X20" s="21"/>
      <c r="Y20" s="21"/>
      <c r="Z20" s="164"/>
      <c r="AA20" s="28"/>
    </row>
    <row r="21" spans="1:27" ht="15.75">
      <c r="A21" s="5"/>
      <c r="B21" s="88"/>
      <c r="C21" s="51"/>
      <c r="D21" s="2"/>
      <c r="E21" s="19"/>
      <c r="F21" s="50"/>
      <c r="G21" s="20"/>
      <c r="H21" s="64"/>
      <c r="I21" s="72"/>
      <c r="J21" s="176"/>
      <c r="K21" s="14"/>
      <c r="L21" s="14"/>
      <c r="M21" s="14"/>
      <c r="N21" s="32"/>
      <c r="O21" s="88"/>
      <c r="P21" s="51"/>
      <c r="Q21" s="18"/>
      <c r="R21" s="19"/>
      <c r="S21" s="50"/>
      <c r="T21" s="149"/>
      <c r="U21" s="74"/>
      <c r="V21" s="20"/>
      <c r="W21" s="21"/>
      <c r="X21" s="21"/>
      <c r="Y21" s="21"/>
      <c r="Z21" s="164"/>
      <c r="AA21" s="28"/>
    </row>
    <row r="22" spans="1:27" ht="15.75">
      <c r="A22" s="5"/>
      <c r="B22" s="88"/>
      <c r="C22" s="51"/>
      <c r="D22" s="2"/>
      <c r="E22" s="19"/>
      <c r="F22" s="50"/>
      <c r="G22" s="20"/>
      <c r="H22" s="64"/>
      <c r="I22" s="72"/>
      <c r="J22" s="4"/>
      <c r="K22" s="14"/>
      <c r="L22" s="14"/>
      <c r="M22" s="14"/>
      <c r="N22" s="32"/>
      <c r="O22" s="157"/>
      <c r="P22" s="51"/>
      <c r="Q22" s="18"/>
      <c r="R22" s="19"/>
      <c r="S22" s="50"/>
      <c r="T22" s="149"/>
      <c r="U22" s="74"/>
      <c r="V22" s="20"/>
      <c r="W22" s="21"/>
      <c r="X22" s="21"/>
      <c r="Y22" s="21"/>
      <c r="Z22" s="164"/>
      <c r="AA22" s="28"/>
    </row>
    <row r="23" spans="1:27" ht="15.75">
      <c r="A23" s="5"/>
      <c r="B23" s="175"/>
      <c r="C23" s="51"/>
      <c r="D23" s="2"/>
      <c r="E23" s="19"/>
      <c r="F23" s="50"/>
      <c r="G23" s="20"/>
      <c r="H23" s="64"/>
      <c r="I23" s="72"/>
      <c r="J23" s="176"/>
      <c r="K23" s="14"/>
      <c r="L23" s="14"/>
      <c r="M23" s="14"/>
      <c r="N23" s="32"/>
      <c r="O23" s="157"/>
      <c r="P23" s="51"/>
      <c r="Q23" s="18"/>
      <c r="R23" s="19"/>
      <c r="S23" s="50"/>
      <c r="T23" s="149"/>
      <c r="U23" s="74"/>
      <c r="V23" s="20"/>
      <c r="W23" s="21"/>
      <c r="X23" s="21"/>
      <c r="Y23" s="21"/>
      <c r="Z23" s="164"/>
      <c r="AA23" s="28"/>
    </row>
    <row r="24" spans="1:27" ht="15.75">
      <c r="A24" s="5"/>
      <c r="B24" s="175"/>
      <c r="C24" s="51"/>
      <c r="D24" s="2"/>
      <c r="E24" s="19"/>
      <c r="F24" s="50"/>
      <c r="G24" s="20"/>
      <c r="H24" s="64"/>
      <c r="I24" s="72"/>
      <c r="J24" s="4"/>
      <c r="K24" s="14"/>
      <c r="L24" s="14"/>
      <c r="M24" s="14"/>
      <c r="N24" s="32"/>
      <c r="O24" s="157"/>
      <c r="P24" s="51"/>
      <c r="Q24" s="18"/>
      <c r="R24" s="19"/>
      <c r="S24" s="50"/>
      <c r="T24" s="149"/>
      <c r="U24" s="74"/>
      <c r="V24" s="20"/>
      <c r="W24" s="21"/>
      <c r="X24" s="21"/>
      <c r="Y24" s="21"/>
      <c r="Z24" s="164"/>
      <c r="AA24" s="28"/>
    </row>
    <row r="25" spans="1:27" ht="15.75">
      <c r="A25" s="5"/>
      <c r="B25" s="175"/>
      <c r="C25" s="51"/>
      <c r="D25" s="2"/>
      <c r="E25" s="19"/>
      <c r="F25" s="50"/>
      <c r="G25" s="20"/>
      <c r="H25" s="64"/>
      <c r="I25" s="72"/>
      <c r="J25" s="176"/>
      <c r="K25" s="14"/>
      <c r="L25" s="14"/>
      <c r="M25" s="14"/>
      <c r="N25" s="32"/>
      <c r="O25" s="157"/>
      <c r="P25" s="51"/>
      <c r="Q25" s="18"/>
      <c r="R25" s="19"/>
      <c r="S25" s="50"/>
      <c r="T25" s="149"/>
      <c r="U25" s="74"/>
      <c r="V25" s="20"/>
      <c r="W25" s="21"/>
      <c r="X25" s="21"/>
      <c r="Y25" s="21"/>
      <c r="Z25" s="164"/>
      <c r="AA25" s="28"/>
    </row>
    <row r="26" spans="1:27" ht="15.75">
      <c r="A26" s="5"/>
      <c r="B26" s="175"/>
      <c r="C26" s="51"/>
      <c r="D26" s="2"/>
      <c r="E26" s="19"/>
      <c r="F26" s="50"/>
      <c r="G26" s="20"/>
      <c r="H26" s="64"/>
      <c r="I26" s="72"/>
      <c r="J26" s="4"/>
      <c r="K26" s="14"/>
      <c r="L26" s="14"/>
      <c r="M26" s="14"/>
      <c r="N26" s="32"/>
      <c r="O26" s="157"/>
      <c r="P26" s="51"/>
      <c r="Q26" s="18"/>
      <c r="R26" s="19"/>
      <c r="S26" s="50"/>
      <c r="T26" s="149"/>
      <c r="U26" s="74"/>
      <c r="V26" s="20"/>
      <c r="W26" s="21"/>
      <c r="X26" s="21"/>
      <c r="Y26" s="21"/>
      <c r="Z26" s="164"/>
      <c r="AA26" s="28"/>
    </row>
    <row r="27" spans="1:27" ht="15.75">
      <c r="A27" s="5"/>
      <c r="B27" s="175"/>
      <c r="C27" s="51"/>
      <c r="D27" s="2"/>
      <c r="E27" s="19"/>
      <c r="F27" s="50"/>
      <c r="G27" s="20"/>
      <c r="H27" s="64"/>
      <c r="I27" s="72"/>
      <c r="J27" s="176"/>
      <c r="K27" s="14"/>
      <c r="L27" s="14"/>
      <c r="M27" s="14"/>
      <c r="N27" s="32"/>
      <c r="O27" s="157"/>
      <c r="P27" s="51"/>
      <c r="Q27" s="18"/>
      <c r="R27" s="19"/>
      <c r="S27" s="50"/>
      <c r="T27" s="149"/>
      <c r="U27" s="74"/>
      <c r="V27" s="20"/>
      <c r="W27" s="21"/>
      <c r="X27" s="21"/>
      <c r="Y27" s="21"/>
      <c r="Z27" s="164"/>
      <c r="AA27" s="28"/>
    </row>
    <row r="28" spans="1:27" ht="15.75">
      <c r="A28" s="5"/>
      <c r="B28" s="175"/>
      <c r="C28" s="51"/>
      <c r="D28" s="2"/>
      <c r="E28" s="19"/>
      <c r="F28" s="50"/>
      <c r="G28" s="20"/>
      <c r="H28" s="64"/>
      <c r="I28" s="72"/>
      <c r="J28" s="4"/>
      <c r="K28" s="14"/>
      <c r="L28" s="14"/>
      <c r="M28" s="14"/>
      <c r="N28" s="32"/>
      <c r="O28" s="157"/>
      <c r="P28" s="51"/>
      <c r="Q28" s="18"/>
      <c r="R28" s="19"/>
      <c r="S28" s="50"/>
      <c r="T28" s="149"/>
      <c r="U28" s="74"/>
      <c r="V28" s="20"/>
      <c r="W28" s="21"/>
      <c r="X28" s="21"/>
      <c r="Y28" s="21"/>
      <c r="Z28" s="164"/>
      <c r="AA28" s="28"/>
    </row>
    <row r="29" spans="1:27" ht="15.75">
      <c r="A29" s="5"/>
      <c r="B29" s="175"/>
      <c r="C29" s="51"/>
      <c r="D29" s="2"/>
      <c r="E29" s="19"/>
      <c r="F29" s="50"/>
      <c r="G29" s="20"/>
      <c r="H29" s="64"/>
      <c r="I29" s="72"/>
      <c r="J29" s="176"/>
      <c r="K29" s="14"/>
      <c r="L29" s="14"/>
      <c r="M29" s="14"/>
      <c r="N29" s="32"/>
      <c r="O29" s="157"/>
      <c r="P29" s="51"/>
      <c r="Q29" s="18"/>
      <c r="R29" s="19"/>
      <c r="S29" s="50"/>
      <c r="T29" s="149"/>
      <c r="U29" s="74"/>
      <c r="V29" s="20"/>
      <c r="W29" s="21"/>
      <c r="X29" s="21"/>
      <c r="Y29" s="21"/>
      <c r="Z29" s="164"/>
      <c r="AA29" s="28"/>
    </row>
    <row r="30" spans="1:27" ht="15.75">
      <c r="A30" s="5"/>
      <c r="B30" s="175"/>
      <c r="C30" s="51"/>
      <c r="D30" s="2"/>
      <c r="E30" s="19"/>
      <c r="F30" s="50"/>
      <c r="G30" s="20"/>
      <c r="H30" s="64"/>
      <c r="I30" s="72"/>
      <c r="J30" s="4"/>
      <c r="K30" s="14"/>
      <c r="L30" s="14"/>
      <c r="M30" s="14"/>
      <c r="N30" s="32"/>
      <c r="O30" s="157"/>
      <c r="P30" s="51"/>
      <c r="Q30" s="18"/>
      <c r="R30" s="19"/>
      <c r="S30" s="50"/>
      <c r="T30" s="149"/>
      <c r="U30" s="74"/>
      <c r="V30" s="20"/>
      <c r="W30" s="21"/>
      <c r="X30" s="21"/>
      <c r="Y30" s="21"/>
      <c r="Z30" s="164"/>
      <c r="AA30" s="28"/>
    </row>
    <row r="31" spans="1:27" ht="15.75">
      <c r="A31" s="5"/>
      <c r="B31" s="175"/>
      <c r="C31" s="51"/>
      <c r="D31" s="2"/>
      <c r="E31" s="19"/>
      <c r="F31" s="50"/>
      <c r="G31" s="20"/>
      <c r="H31" s="64"/>
      <c r="I31" s="72"/>
      <c r="J31" s="176"/>
      <c r="K31" s="14"/>
      <c r="L31" s="14"/>
      <c r="M31" s="14"/>
      <c r="N31" s="32"/>
      <c r="O31" s="157"/>
      <c r="P31" s="51"/>
      <c r="Q31" s="18"/>
      <c r="R31" s="19"/>
      <c r="S31" s="50"/>
      <c r="T31" s="149"/>
      <c r="U31" s="74"/>
      <c r="V31" s="20"/>
      <c r="W31" s="21"/>
      <c r="X31" s="21"/>
      <c r="Y31" s="21"/>
      <c r="Z31" s="164"/>
      <c r="AA31" s="28"/>
    </row>
    <row r="32" spans="1:27" ht="15.75">
      <c r="A32" s="5"/>
      <c r="B32" s="175"/>
      <c r="C32" s="51"/>
      <c r="D32" s="2"/>
      <c r="E32" s="19"/>
      <c r="F32" s="50"/>
      <c r="G32" s="20"/>
      <c r="H32" s="64"/>
      <c r="I32" s="72"/>
      <c r="J32" s="4"/>
      <c r="K32" s="14"/>
      <c r="L32" s="14"/>
      <c r="M32" s="14"/>
      <c r="N32" s="32"/>
      <c r="O32" s="157"/>
      <c r="P32" s="51"/>
      <c r="Q32" s="18"/>
      <c r="R32" s="19"/>
      <c r="S32" s="50"/>
      <c r="T32" s="149"/>
      <c r="U32" s="74"/>
      <c r="V32" s="20"/>
      <c r="W32" s="21"/>
      <c r="X32" s="21"/>
      <c r="Y32" s="21"/>
      <c r="Z32" s="164"/>
      <c r="AA32" s="28"/>
    </row>
    <row r="33" spans="1:27" ht="15.75">
      <c r="A33" s="5"/>
      <c r="B33" s="175"/>
      <c r="C33" s="51"/>
      <c r="D33" s="2"/>
      <c r="E33" s="19"/>
      <c r="F33" s="50"/>
      <c r="G33" s="20"/>
      <c r="H33" s="64"/>
      <c r="I33" s="72"/>
      <c r="J33" s="176"/>
      <c r="K33" s="14"/>
      <c r="L33" s="14"/>
      <c r="M33" s="14"/>
      <c r="N33" s="32"/>
      <c r="O33" s="157"/>
      <c r="P33" s="51"/>
      <c r="Q33" s="18"/>
      <c r="R33" s="19"/>
      <c r="S33" s="50"/>
      <c r="T33" s="149"/>
      <c r="U33" s="74"/>
      <c r="V33" s="20"/>
      <c r="W33" s="21"/>
      <c r="X33" s="21"/>
      <c r="Y33" s="21"/>
      <c r="Z33" s="164"/>
      <c r="AA33" s="28"/>
    </row>
    <row r="34" spans="1:27" ht="15.75">
      <c r="A34" s="5"/>
      <c r="B34" s="175"/>
      <c r="C34" s="51"/>
      <c r="D34" s="2"/>
      <c r="E34" s="19"/>
      <c r="F34" s="50"/>
      <c r="G34" s="20"/>
      <c r="H34" s="64"/>
      <c r="I34" s="72"/>
      <c r="J34" s="4"/>
      <c r="K34" s="14"/>
      <c r="L34" s="14"/>
      <c r="M34" s="14"/>
      <c r="N34" s="32"/>
      <c r="O34" s="157"/>
      <c r="P34" s="51"/>
      <c r="Q34" s="18"/>
      <c r="R34" s="19"/>
      <c r="S34" s="50"/>
      <c r="T34" s="149"/>
      <c r="U34" s="74"/>
      <c r="V34" s="20"/>
      <c r="W34" s="21"/>
      <c r="X34" s="21"/>
      <c r="Y34" s="21"/>
      <c r="Z34" s="164"/>
      <c r="AA34" s="28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39022-40B8-4C24-85F3-C127503D9328}">
  <dimension ref="A1:AD125"/>
  <sheetViews>
    <sheetView workbookViewId="0">
      <selection activeCell="AC26" sqref="AC26"/>
    </sheetView>
  </sheetViews>
  <sheetFormatPr defaultRowHeight="15"/>
  <cols>
    <col min="1" max="1" width="4.28515625" customWidth="1"/>
    <col min="2" max="2" width="8" style="192" customWidth="1"/>
    <col min="3" max="3" width="7.140625" style="56" customWidth="1"/>
    <col min="4" max="4" width="29" customWidth="1"/>
    <col min="6" max="6" width="24" customWidth="1"/>
    <col min="7" max="7" width="10.85546875" customWidth="1"/>
    <col min="8" max="8" width="10.5703125" hidden="1" customWidth="1"/>
    <col min="9" max="9" width="12.5703125" style="67" bestFit="1" customWidth="1"/>
    <col min="10" max="10" width="9.7109375" style="56" bestFit="1" customWidth="1"/>
    <col min="11" max="11" width="12.7109375" bestFit="1" customWidth="1"/>
    <col min="12" max="12" width="9.140625" hidden="1" customWidth="1"/>
    <col min="13" max="13" width="14.5703125" hidden="1" customWidth="1"/>
    <col min="14" max="14" width="11.85546875" hidden="1" customWidth="1"/>
    <col min="15" max="15" width="18.140625" hidden="1" customWidth="1"/>
    <col min="16" max="16" width="8.140625" customWidth="1"/>
    <col min="17" max="17" width="7.42578125" style="56" customWidth="1"/>
    <col min="18" max="18" width="27.7109375" customWidth="1"/>
    <col min="19" max="19" width="15.7109375" customWidth="1"/>
    <col min="20" max="20" width="25.42578125" customWidth="1"/>
    <col min="21" max="21" width="9.140625" style="151"/>
    <col min="22" max="22" width="9" style="67" customWidth="1"/>
    <col min="23" max="23" width="13.85546875" style="56" hidden="1" customWidth="1"/>
    <col min="24" max="27" width="13.7109375" customWidth="1"/>
    <col min="28" max="28" width="18.85546875" customWidth="1"/>
    <col min="29" max="29" width="13.7109375" customWidth="1"/>
    <col min="30" max="30" width="13.28515625" customWidth="1"/>
  </cols>
  <sheetData>
    <row r="1" spans="1:29" ht="28.5" customHeight="1">
      <c r="A1" s="1"/>
      <c r="B1" s="193" t="s">
        <v>0</v>
      </c>
      <c r="C1" s="57"/>
      <c r="D1" s="2" t="s">
        <v>1</v>
      </c>
      <c r="E1" s="3" t="s">
        <v>2</v>
      </c>
      <c r="F1" s="2" t="s">
        <v>3</v>
      </c>
      <c r="G1" s="2"/>
      <c r="H1" s="2" t="s">
        <v>429</v>
      </c>
      <c r="I1" s="62" t="s">
        <v>426</v>
      </c>
      <c r="J1" s="72" t="s">
        <v>4</v>
      </c>
      <c r="K1" s="2" t="s">
        <v>526</v>
      </c>
      <c r="L1" s="5" t="s">
        <v>6</v>
      </c>
      <c r="M1" s="2" t="s">
        <v>7</v>
      </c>
      <c r="N1" s="2" t="s">
        <v>8</v>
      </c>
      <c r="O1" s="6" t="s">
        <v>9</v>
      </c>
      <c r="P1" s="88" t="s">
        <v>0</v>
      </c>
      <c r="Q1" s="57"/>
      <c r="R1" s="2" t="s">
        <v>1</v>
      </c>
      <c r="S1" s="7" t="s">
        <v>2</v>
      </c>
      <c r="T1" s="2" t="s">
        <v>3</v>
      </c>
      <c r="U1" s="140"/>
      <c r="V1" s="68"/>
      <c r="W1" s="72" t="s">
        <v>10</v>
      </c>
      <c r="X1" s="2" t="s">
        <v>526</v>
      </c>
      <c r="Y1" s="5" t="s">
        <v>6</v>
      </c>
      <c r="Z1" s="8" t="s">
        <v>7</v>
      </c>
      <c r="AA1" s="8" t="s">
        <v>8</v>
      </c>
      <c r="AB1" s="9" t="s">
        <v>9</v>
      </c>
      <c r="AC1" s="10"/>
    </row>
    <row r="2" spans="1:29" ht="28.5" customHeight="1">
      <c r="A2" s="1"/>
      <c r="B2" s="194"/>
      <c r="C2" s="58"/>
      <c r="D2" s="12" t="s">
        <v>512</v>
      </c>
      <c r="E2" s="11"/>
      <c r="F2" s="11"/>
      <c r="G2" s="11"/>
      <c r="H2" s="11"/>
      <c r="I2" s="63"/>
      <c r="J2" s="58"/>
      <c r="K2" s="11"/>
      <c r="L2" s="11"/>
      <c r="M2" s="11"/>
      <c r="N2" s="11"/>
      <c r="O2" s="13"/>
      <c r="P2" s="88"/>
      <c r="Q2" s="58"/>
      <c r="R2" s="11" t="s">
        <v>525</v>
      </c>
      <c r="S2" s="11"/>
      <c r="T2" s="11"/>
      <c r="U2" s="141"/>
      <c r="V2" s="63"/>
      <c r="W2" s="58"/>
      <c r="X2" s="11"/>
      <c r="Y2" s="11"/>
      <c r="Z2" s="11"/>
      <c r="AA2" s="11"/>
      <c r="AB2" s="13"/>
      <c r="AC2" s="10"/>
    </row>
    <row r="3" spans="1:29" ht="38.25" customHeight="1">
      <c r="A3" s="5"/>
      <c r="B3" s="195"/>
      <c r="C3" s="76"/>
      <c r="D3" s="2"/>
      <c r="E3" s="97"/>
      <c r="F3" s="50"/>
      <c r="G3" s="16"/>
      <c r="H3" s="79"/>
      <c r="I3" s="64"/>
      <c r="J3" s="72"/>
      <c r="K3" s="176"/>
      <c r="L3" s="14"/>
      <c r="M3" s="14"/>
      <c r="N3" s="16"/>
      <c r="O3" s="17"/>
      <c r="P3" s="89"/>
      <c r="Q3" s="76"/>
      <c r="R3" s="18"/>
      <c r="S3" s="97"/>
      <c r="T3" s="50"/>
      <c r="U3" s="142"/>
      <c r="V3" s="69"/>
      <c r="W3" s="74"/>
      <c r="X3" s="20"/>
      <c r="Y3" s="21"/>
      <c r="Z3" s="21"/>
      <c r="AA3" s="22"/>
      <c r="AB3" s="23"/>
      <c r="AC3" s="24"/>
    </row>
    <row r="4" spans="1:29" ht="43.5" customHeight="1">
      <c r="A4" s="5"/>
      <c r="B4" s="195"/>
      <c r="C4" s="76"/>
      <c r="D4" s="2"/>
      <c r="E4" s="97"/>
      <c r="F4" s="50"/>
      <c r="G4" s="16"/>
      <c r="H4" s="79"/>
      <c r="I4" s="64"/>
      <c r="J4" s="72"/>
      <c r="K4" s="4"/>
      <c r="L4" s="14"/>
      <c r="M4" s="14"/>
      <c r="N4" s="16"/>
      <c r="O4" s="17"/>
      <c r="P4" s="89"/>
      <c r="Q4" s="76"/>
      <c r="R4" s="18"/>
      <c r="S4" s="97"/>
      <c r="T4" s="50"/>
      <c r="U4" s="142"/>
      <c r="V4" s="69"/>
      <c r="W4" s="74"/>
      <c r="X4" s="20"/>
      <c r="Y4" s="21"/>
      <c r="Z4" s="21"/>
      <c r="AA4" s="22"/>
      <c r="AB4" s="23"/>
      <c r="AC4" s="24"/>
    </row>
    <row r="5" spans="1:29" ht="28.5" customHeight="1">
      <c r="A5" s="5"/>
      <c r="B5" s="195"/>
      <c r="C5" s="76"/>
      <c r="D5" s="2"/>
      <c r="E5" s="97"/>
      <c r="F5" s="50"/>
      <c r="G5" s="16"/>
      <c r="H5" s="79"/>
      <c r="I5" s="64"/>
      <c r="J5" s="72"/>
      <c r="K5" s="199"/>
      <c r="L5" s="14"/>
      <c r="M5" s="14"/>
      <c r="N5" s="16"/>
      <c r="O5" s="17"/>
      <c r="P5" s="89"/>
      <c r="Q5" s="76"/>
      <c r="R5" s="18"/>
      <c r="S5" s="97"/>
      <c r="T5" s="50"/>
      <c r="U5" s="142"/>
      <c r="V5" s="69"/>
      <c r="W5" s="74"/>
      <c r="X5" s="20"/>
      <c r="Y5" s="21"/>
      <c r="Z5" s="21"/>
      <c r="AA5" s="22"/>
      <c r="AB5" s="23"/>
      <c r="AC5" s="24"/>
    </row>
    <row r="6" spans="1:29" ht="43.5" customHeight="1">
      <c r="A6" s="5"/>
      <c r="B6" s="195"/>
      <c r="C6" s="76"/>
      <c r="D6" s="2"/>
      <c r="E6" s="97"/>
      <c r="F6" s="50"/>
      <c r="G6" s="16"/>
      <c r="H6" s="79"/>
      <c r="I6" s="64"/>
      <c r="J6" s="72"/>
      <c r="K6" s="4"/>
      <c r="L6" s="14"/>
      <c r="M6" s="14"/>
      <c r="N6" s="16"/>
      <c r="O6" s="17"/>
      <c r="P6" s="89"/>
      <c r="Q6" s="76"/>
      <c r="R6" s="18"/>
      <c r="S6" s="97"/>
      <c r="T6" s="50"/>
      <c r="U6" s="142"/>
      <c r="V6" s="69"/>
      <c r="W6" s="74"/>
      <c r="X6" s="20"/>
      <c r="Y6" s="21"/>
      <c r="Z6" s="21"/>
      <c r="AA6" s="22"/>
      <c r="AB6" s="23"/>
      <c r="AC6" s="24"/>
    </row>
    <row r="7" spans="1:29" ht="35.25" customHeight="1">
      <c r="A7" s="5"/>
      <c r="B7" s="195"/>
      <c r="C7" s="76"/>
      <c r="D7" s="2"/>
      <c r="E7" s="97"/>
      <c r="F7" s="50"/>
      <c r="G7" s="80"/>
      <c r="H7" s="79"/>
      <c r="I7" s="64"/>
      <c r="J7" s="72"/>
      <c r="K7" s="4"/>
      <c r="L7" s="14"/>
      <c r="M7" s="14"/>
      <c r="N7" s="16"/>
      <c r="O7" s="26"/>
      <c r="P7" s="89"/>
      <c r="Q7" s="76"/>
      <c r="R7" s="18"/>
      <c r="S7" s="97"/>
      <c r="T7" s="50"/>
      <c r="U7" s="142"/>
      <c r="V7" s="69"/>
      <c r="W7" s="74"/>
      <c r="X7" s="20"/>
      <c r="Y7" s="21"/>
      <c r="Z7" s="21"/>
      <c r="AA7" s="22"/>
      <c r="AB7" s="23"/>
      <c r="AC7" s="24"/>
    </row>
    <row r="8" spans="1:29" ht="55.5" customHeight="1">
      <c r="A8" s="5"/>
      <c r="B8" s="195"/>
      <c r="C8" s="76"/>
      <c r="D8" s="2"/>
      <c r="E8" s="97"/>
      <c r="F8" s="50"/>
      <c r="G8" s="80"/>
      <c r="H8" s="79"/>
      <c r="I8" s="64"/>
      <c r="J8" s="72"/>
      <c r="K8" s="4"/>
      <c r="L8" s="14"/>
      <c r="M8" s="14"/>
      <c r="N8" s="16"/>
      <c r="O8" s="17"/>
      <c r="P8" s="89"/>
      <c r="Q8" s="76"/>
      <c r="R8" s="18"/>
      <c r="S8" s="97"/>
      <c r="T8" s="50"/>
      <c r="U8" s="142"/>
      <c r="V8" s="69"/>
      <c r="W8" s="74"/>
      <c r="X8" s="74"/>
      <c r="Y8" s="21"/>
      <c r="Z8" s="21"/>
      <c r="AA8" s="22"/>
      <c r="AB8" s="23"/>
      <c r="AC8" s="28"/>
    </row>
    <row r="9" spans="1:29" ht="28.5" customHeight="1">
      <c r="A9" s="5"/>
      <c r="B9" s="195"/>
      <c r="C9" s="76"/>
      <c r="D9" s="2"/>
      <c r="E9" s="97"/>
      <c r="F9" s="50"/>
      <c r="G9" s="80"/>
      <c r="H9" s="79"/>
      <c r="I9" s="64"/>
      <c r="J9" s="72"/>
      <c r="K9" s="4"/>
      <c r="L9" s="14"/>
      <c r="M9" s="14"/>
      <c r="N9" s="16"/>
      <c r="O9" s="17"/>
      <c r="P9" s="89"/>
      <c r="Q9" s="76"/>
      <c r="R9" s="2"/>
      <c r="S9" s="97"/>
      <c r="T9" s="50"/>
      <c r="U9" s="142"/>
      <c r="V9" s="69"/>
      <c r="W9" s="74"/>
      <c r="X9" s="201"/>
      <c r="Y9" s="21"/>
      <c r="Z9" s="21"/>
      <c r="AA9" s="22"/>
      <c r="AB9" s="23"/>
      <c r="AC9" s="24"/>
    </row>
    <row r="10" spans="1:29" ht="28.5" customHeight="1">
      <c r="A10" s="5"/>
      <c r="B10" s="195"/>
      <c r="C10" s="76"/>
      <c r="D10" s="2"/>
      <c r="E10" s="97"/>
      <c r="F10" s="50"/>
      <c r="G10" s="16"/>
      <c r="H10" s="79"/>
      <c r="I10" s="64"/>
      <c r="J10" s="72"/>
      <c r="K10" s="4"/>
      <c r="L10" s="14"/>
      <c r="M10" s="14"/>
      <c r="N10" s="16"/>
      <c r="O10" s="26"/>
      <c r="P10" s="89"/>
      <c r="Q10" s="76"/>
      <c r="R10" s="18"/>
      <c r="S10" s="97"/>
      <c r="T10" s="50"/>
      <c r="U10" s="142"/>
      <c r="V10" s="69"/>
      <c r="W10" s="74"/>
      <c r="X10" s="20"/>
      <c r="Y10" s="21"/>
      <c r="Z10" s="21"/>
      <c r="AA10" s="22"/>
      <c r="AB10" s="23"/>
      <c r="AC10" s="24"/>
    </row>
    <row r="11" spans="1:29" ht="28.5" customHeight="1">
      <c r="A11" s="5"/>
      <c r="B11" s="195"/>
      <c r="C11" s="76"/>
      <c r="D11" s="2"/>
      <c r="E11" s="97"/>
      <c r="F11" s="50"/>
      <c r="G11" s="16"/>
      <c r="H11" s="79"/>
      <c r="I11" s="64"/>
      <c r="J11" s="72"/>
      <c r="K11" s="4"/>
      <c r="L11" s="14"/>
      <c r="M11" s="14"/>
      <c r="N11" s="16"/>
      <c r="O11" s="17"/>
      <c r="P11" s="89"/>
      <c r="Q11" s="76"/>
      <c r="R11" s="18"/>
      <c r="S11" s="97"/>
      <c r="T11" s="50"/>
      <c r="U11" s="142"/>
      <c r="V11" s="69"/>
      <c r="W11" s="74"/>
      <c r="X11" s="20"/>
      <c r="Y11" s="21"/>
      <c r="Z11" s="21"/>
      <c r="AA11" s="22"/>
      <c r="AB11" s="23"/>
      <c r="AC11" s="24"/>
    </row>
    <row r="12" spans="1:29" ht="28.5" customHeight="1">
      <c r="A12" s="5"/>
      <c r="B12" s="195"/>
      <c r="C12" s="76"/>
      <c r="D12" s="18"/>
      <c r="E12" s="97"/>
      <c r="F12" s="50"/>
      <c r="G12" s="16"/>
      <c r="H12" s="79"/>
      <c r="I12" s="64"/>
      <c r="J12" s="72"/>
      <c r="K12" s="4"/>
      <c r="L12" s="14"/>
      <c r="M12" s="14"/>
      <c r="N12" s="16"/>
      <c r="O12" s="17"/>
      <c r="P12" s="89"/>
      <c r="Q12" s="76"/>
      <c r="R12" s="18"/>
      <c r="S12" s="97"/>
      <c r="T12" s="50"/>
      <c r="U12" s="142"/>
      <c r="V12" s="69"/>
      <c r="W12" s="74"/>
      <c r="X12" s="20"/>
      <c r="Y12" s="21"/>
      <c r="Z12" s="21"/>
      <c r="AA12" s="22"/>
      <c r="AB12" s="23"/>
      <c r="AC12" s="24"/>
    </row>
    <row r="13" spans="1:29" ht="62.45" customHeight="1">
      <c r="A13" s="5"/>
      <c r="B13" s="195"/>
      <c r="C13" s="76"/>
      <c r="D13" s="2"/>
      <c r="E13" s="97"/>
      <c r="F13" s="50"/>
      <c r="G13" s="16"/>
      <c r="H13" s="79"/>
      <c r="I13" s="64"/>
      <c r="J13" s="72"/>
      <c r="K13" s="176"/>
      <c r="L13" s="14"/>
      <c r="M13" s="14"/>
      <c r="N13" s="16"/>
      <c r="O13" s="26"/>
      <c r="P13" s="89"/>
      <c r="Q13" s="76"/>
      <c r="R13" s="2"/>
      <c r="S13" s="97"/>
      <c r="T13" s="50"/>
      <c r="U13" s="142"/>
      <c r="V13" s="69"/>
      <c r="W13" s="74"/>
      <c r="X13" s="74"/>
      <c r="Y13" s="21"/>
      <c r="Z13" s="21"/>
      <c r="AA13" s="22"/>
      <c r="AB13" s="23"/>
      <c r="AC13" s="24"/>
    </row>
    <row r="14" spans="1:29" ht="83.45" customHeight="1">
      <c r="A14" s="5"/>
      <c r="B14" s="195"/>
      <c r="C14" s="76"/>
      <c r="D14" s="2"/>
      <c r="E14" s="97"/>
      <c r="F14" s="50"/>
      <c r="G14" s="80"/>
      <c r="H14" s="79"/>
      <c r="I14" s="64"/>
      <c r="J14" s="72"/>
      <c r="K14" s="176"/>
      <c r="L14" s="14"/>
      <c r="M14" s="14"/>
      <c r="N14" s="16"/>
      <c r="O14" s="17"/>
      <c r="P14" s="89"/>
      <c r="Q14" s="76"/>
      <c r="R14" s="2"/>
      <c r="S14" s="97"/>
      <c r="T14" s="50"/>
      <c r="U14" s="142"/>
      <c r="V14" s="69"/>
      <c r="W14" s="74"/>
      <c r="X14" s="20"/>
      <c r="Y14" s="21"/>
      <c r="Z14" s="21"/>
      <c r="AA14" s="22"/>
      <c r="AB14" s="23"/>
      <c r="AC14" s="24"/>
    </row>
    <row r="15" spans="1:29" ht="37.5" customHeight="1">
      <c r="A15" s="5"/>
      <c r="B15" s="195"/>
      <c r="C15" s="76"/>
      <c r="D15" s="2"/>
      <c r="E15" s="97"/>
      <c r="F15" s="50"/>
      <c r="G15" s="80"/>
      <c r="H15" s="79"/>
      <c r="I15" s="64"/>
      <c r="J15" s="72"/>
      <c r="K15" s="4"/>
      <c r="L15" s="14"/>
      <c r="M15" s="14"/>
      <c r="N15" s="16"/>
      <c r="O15" s="17"/>
      <c r="P15" s="89"/>
      <c r="Q15" s="76"/>
      <c r="R15" s="18"/>
      <c r="S15" s="97"/>
      <c r="T15" s="50"/>
      <c r="U15" s="142"/>
      <c r="V15" s="69"/>
      <c r="W15" s="74"/>
      <c r="X15" s="20"/>
      <c r="Y15" s="21"/>
      <c r="Z15" s="21"/>
      <c r="AA15" s="22"/>
      <c r="AB15" s="23"/>
      <c r="AC15" s="24"/>
    </row>
    <row r="16" spans="1:29" ht="28.5" customHeight="1">
      <c r="A16" s="5"/>
      <c r="B16" s="195"/>
      <c r="C16" s="76"/>
      <c r="D16" s="2"/>
      <c r="E16" s="97"/>
      <c r="F16" s="50"/>
      <c r="G16" s="16"/>
      <c r="H16" s="79"/>
      <c r="I16" s="64"/>
      <c r="J16" s="72"/>
      <c r="K16" s="176"/>
      <c r="L16" s="14"/>
      <c r="M16" s="14"/>
      <c r="N16" s="16"/>
      <c r="O16" s="26"/>
      <c r="P16" s="89"/>
      <c r="Q16" s="76"/>
      <c r="R16" s="18"/>
      <c r="S16" s="97"/>
      <c r="T16" s="50"/>
      <c r="U16" s="142"/>
      <c r="V16" s="69"/>
      <c r="W16" s="74"/>
      <c r="X16" s="20"/>
      <c r="Y16" s="21"/>
      <c r="Z16" s="21"/>
      <c r="AA16" s="22"/>
      <c r="AB16" s="23"/>
      <c r="AC16" s="24"/>
    </row>
    <row r="17" spans="1:29" ht="28.5" customHeight="1">
      <c r="A17" s="5"/>
      <c r="B17" s="195"/>
      <c r="C17" s="77"/>
      <c r="D17" s="18"/>
      <c r="E17" s="97"/>
      <c r="F17" s="50"/>
      <c r="G17" s="16"/>
      <c r="H17" s="79"/>
      <c r="I17" s="64"/>
      <c r="J17" s="72"/>
      <c r="K17" s="4"/>
      <c r="L17" s="14"/>
      <c r="M17" s="14"/>
      <c r="N17" s="16"/>
      <c r="O17" s="17"/>
      <c r="P17" s="89"/>
      <c r="Q17" s="76"/>
      <c r="R17" s="18"/>
      <c r="S17" s="97"/>
      <c r="T17" s="50"/>
      <c r="U17" s="142"/>
      <c r="V17" s="69"/>
      <c r="W17" s="74"/>
      <c r="X17" s="20"/>
      <c r="Y17" s="21"/>
      <c r="Z17" s="21"/>
      <c r="AA17" s="22"/>
      <c r="AB17" s="23"/>
      <c r="AC17" s="24"/>
    </row>
    <row r="18" spans="1:29" ht="28.5" customHeight="1">
      <c r="A18" s="5"/>
      <c r="B18" s="195"/>
      <c r="C18" s="77"/>
      <c r="D18" s="2"/>
      <c r="E18" s="97"/>
      <c r="F18" s="50"/>
      <c r="G18" s="80"/>
      <c r="H18" s="79"/>
      <c r="I18" s="64"/>
      <c r="J18" s="72"/>
      <c r="K18" s="4"/>
      <c r="L18" s="14"/>
      <c r="M18" s="14"/>
      <c r="N18" s="16"/>
      <c r="O18" s="17"/>
      <c r="P18" s="89"/>
      <c r="Q18" s="76"/>
      <c r="R18" s="18"/>
      <c r="S18" s="97"/>
      <c r="T18" s="50"/>
      <c r="U18" s="142"/>
      <c r="V18" s="69"/>
      <c r="W18" s="74"/>
      <c r="X18" s="20"/>
      <c r="Y18" s="21"/>
      <c r="Z18" s="21"/>
      <c r="AA18" s="22"/>
      <c r="AB18" s="23"/>
      <c r="AC18" s="24"/>
    </row>
    <row r="19" spans="1:29" ht="28.5" customHeight="1">
      <c r="A19" s="5"/>
      <c r="B19" s="195"/>
      <c r="C19" s="76"/>
      <c r="D19" s="2"/>
      <c r="E19" s="97"/>
      <c r="F19" s="50"/>
      <c r="G19" s="16"/>
      <c r="H19" s="79"/>
      <c r="I19" s="64"/>
      <c r="J19" s="72"/>
      <c r="K19" s="4"/>
      <c r="L19" s="14"/>
      <c r="M19" s="14"/>
      <c r="N19" s="16"/>
      <c r="O19" s="17"/>
      <c r="P19" s="89"/>
      <c r="Q19" s="76"/>
      <c r="R19" s="18"/>
      <c r="S19" s="97"/>
      <c r="T19" s="50"/>
      <c r="U19" s="142"/>
      <c r="V19" s="69"/>
      <c r="W19" s="74"/>
      <c r="X19" s="201"/>
      <c r="Y19" s="21"/>
      <c r="Z19" s="21"/>
      <c r="AA19" s="22"/>
      <c r="AB19" s="23"/>
      <c r="AC19" s="24"/>
    </row>
    <row r="20" spans="1:29" ht="28.5" customHeight="1">
      <c r="A20" s="5"/>
      <c r="B20" s="195"/>
      <c r="C20" s="76"/>
      <c r="D20" s="2"/>
      <c r="E20" s="97"/>
      <c r="F20" s="50"/>
      <c r="G20" s="80"/>
      <c r="H20" s="79"/>
      <c r="I20" s="64"/>
      <c r="J20" s="72"/>
      <c r="K20" s="4"/>
      <c r="L20" s="14"/>
      <c r="M20" s="14"/>
      <c r="N20" s="16"/>
      <c r="O20" s="17"/>
      <c r="P20" s="89"/>
      <c r="Q20" s="76"/>
      <c r="R20" s="2"/>
      <c r="S20" s="97"/>
      <c r="T20" s="50"/>
      <c r="U20" s="142"/>
      <c r="V20" s="69"/>
      <c r="W20" s="74"/>
      <c r="X20" s="20"/>
      <c r="Y20" s="21"/>
      <c r="Z20" s="21"/>
      <c r="AA20" s="22"/>
      <c r="AB20" s="23"/>
      <c r="AC20" s="24"/>
    </row>
    <row r="21" spans="1:29" ht="28.5" customHeight="1">
      <c r="A21" s="5"/>
      <c r="B21" s="195"/>
      <c r="C21" s="76"/>
      <c r="D21" s="2"/>
      <c r="E21" s="97"/>
      <c r="F21" s="50"/>
      <c r="G21" s="16"/>
      <c r="H21" s="79"/>
      <c r="I21" s="64"/>
      <c r="J21" s="72"/>
      <c r="K21" s="4"/>
      <c r="L21" s="14"/>
      <c r="M21" s="14"/>
      <c r="N21" s="16"/>
      <c r="O21" s="17"/>
      <c r="P21" s="89"/>
      <c r="Q21" s="76"/>
      <c r="R21" s="18"/>
      <c r="S21" s="97"/>
      <c r="T21" s="50"/>
      <c r="U21" s="142"/>
      <c r="V21" s="69"/>
      <c r="W21" s="74"/>
      <c r="X21" s="20"/>
      <c r="Y21" s="21"/>
      <c r="Z21" s="21"/>
      <c r="AA21" s="22"/>
      <c r="AB21" s="23"/>
      <c r="AC21" s="24"/>
    </row>
    <row r="22" spans="1:29" ht="28.5" customHeight="1">
      <c r="A22" s="5"/>
      <c r="B22" s="195"/>
      <c r="C22" s="76"/>
      <c r="D22" s="2"/>
      <c r="E22" s="97"/>
      <c r="F22" s="50"/>
      <c r="G22" s="80"/>
      <c r="H22" s="79"/>
      <c r="I22" s="64"/>
      <c r="J22" s="72"/>
      <c r="K22" s="4"/>
      <c r="L22" s="14"/>
      <c r="M22" s="14"/>
      <c r="N22" s="16"/>
      <c r="O22" s="17"/>
      <c r="P22" s="89"/>
      <c r="Q22" s="76"/>
      <c r="R22" s="18"/>
      <c r="S22" s="97"/>
      <c r="T22" s="50"/>
      <c r="U22" s="142"/>
      <c r="V22" s="69"/>
      <c r="W22" s="74"/>
      <c r="X22" s="20"/>
      <c r="Y22" s="21"/>
      <c r="Z22" s="21"/>
      <c r="AA22" s="22"/>
      <c r="AB22" s="23"/>
      <c r="AC22" s="24"/>
    </row>
    <row r="23" spans="1:29" ht="28.5" customHeight="1">
      <c r="A23" s="5"/>
      <c r="B23" s="195"/>
      <c r="C23" s="76"/>
      <c r="D23" s="2"/>
      <c r="E23" s="97"/>
      <c r="F23" s="50"/>
      <c r="G23" s="80"/>
      <c r="H23" s="79"/>
      <c r="I23" s="64"/>
      <c r="J23" s="72"/>
      <c r="K23" s="4"/>
      <c r="L23" s="14"/>
      <c r="M23" s="14"/>
      <c r="N23" s="16"/>
      <c r="O23" s="17"/>
      <c r="P23" s="89"/>
      <c r="Q23" s="76"/>
      <c r="R23" s="2"/>
      <c r="S23" s="97"/>
      <c r="T23" s="50"/>
      <c r="U23" s="142"/>
      <c r="V23" s="69"/>
      <c r="W23" s="74"/>
      <c r="X23" s="20"/>
      <c r="Y23" s="21"/>
      <c r="Z23" s="21"/>
      <c r="AA23" s="22"/>
      <c r="AB23" s="23"/>
      <c r="AC23" s="24"/>
    </row>
    <row r="24" spans="1:29" ht="28.5" customHeight="1">
      <c r="A24" s="5"/>
      <c r="B24" s="195"/>
      <c r="C24" s="76"/>
      <c r="D24" s="2"/>
      <c r="E24" s="97"/>
      <c r="F24" s="50"/>
      <c r="G24" s="80"/>
      <c r="H24" s="79"/>
      <c r="I24" s="64"/>
      <c r="J24" s="72"/>
      <c r="K24" s="199"/>
      <c r="L24" s="14"/>
      <c r="M24" s="14"/>
      <c r="N24" s="16"/>
      <c r="O24" s="17"/>
      <c r="P24" s="89"/>
      <c r="Q24" s="76"/>
      <c r="R24" s="18"/>
      <c r="S24" s="97"/>
      <c r="T24" s="50"/>
      <c r="U24" s="142"/>
      <c r="V24" s="69"/>
      <c r="W24" s="74"/>
      <c r="X24" s="20"/>
      <c r="Y24" s="21"/>
      <c r="Z24" s="21"/>
      <c r="AA24" s="22"/>
      <c r="AB24" s="23"/>
      <c r="AC24" s="24"/>
    </row>
    <row r="25" spans="1:29" ht="28.5" customHeight="1">
      <c r="A25" s="5"/>
      <c r="B25" s="195"/>
      <c r="C25" s="76"/>
      <c r="D25" s="2"/>
      <c r="E25" s="97"/>
      <c r="F25" s="50"/>
      <c r="G25" s="16"/>
      <c r="H25" s="79"/>
      <c r="I25" s="64"/>
      <c r="J25" s="72"/>
      <c r="K25" s="4"/>
      <c r="L25" s="14"/>
      <c r="M25" s="14"/>
      <c r="N25" s="16"/>
      <c r="O25" s="17"/>
      <c r="P25" s="89"/>
      <c r="Q25" s="76"/>
      <c r="R25" s="18"/>
      <c r="S25" s="97"/>
      <c r="T25" s="50"/>
      <c r="U25" s="142"/>
      <c r="V25" s="69"/>
      <c r="W25" s="74"/>
      <c r="X25" s="201"/>
      <c r="Y25" s="21"/>
      <c r="Z25" s="21"/>
      <c r="AA25" s="22"/>
      <c r="AB25" s="23"/>
      <c r="AC25" s="24"/>
    </row>
    <row r="26" spans="1:29" ht="28.5" customHeight="1">
      <c r="A26" s="5"/>
      <c r="B26" s="195"/>
      <c r="C26" s="76"/>
      <c r="D26" s="2"/>
      <c r="E26" s="97"/>
      <c r="F26" s="50"/>
      <c r="G26" s="16"/>
      <c r="H26" s="79"/>
      <c r="I26" s="64"/>
      <c r="J26" s="72"/>
      <c r="K26" s="4"/>
      <c r="L26" s="14"/>
      <c r="M26" s="14"/>
      <c r="N26" s="16"/>
      <c r="O26" s="26"/>
      <c r="P26" s="89"/>
      <c r="Q26" s="76"/>
      <c r="R26" s="18"/>
      <c r="S26" s="97"/>
      <c r="T26" s="50"/>
      <c r="U26" s="142"/>
      <c r="V26" s="69"/>
      <c r="W26" s="74"/>
      <c r="X26" s="74"/>
      <c r="Y26" s="21"/>
      <c r="Z26" s="21"/>
      <c r="AA26" s="22"/>
      <c r="AB26" s="23"/>
      <c r="AC26" s="24"/>
    </row>
    <row r="27" spans="1:29" ht="40.5" customHeight="1">
      <c r="A27" s="5"/>
      <c r="B27" s="195"/>
      <c r="C27" s="76"/>
      <c r="D27" s="2"/>
      <c r="E27" s="97"/>
      <c r="F27" s="50"/>
      <c r="G27" s="16"/>
      <c r="H27" s="79"/>
      <c r="I27" s="64"/>
      <c r="J27" s="72"/>
      <c r="K27" s="4"/>
      <c r="L27" s="14"/>
      <c r="M27" s="14"/>
      <c r="N27" s="22"/>
      <c r="O27" s="27"/>
      <c r="P27" s="89"/>
      <c r="Q27" s="76"/>
      <c r="R27" s="18"/>
      <c r="S27" s="97"/>
      <c r="T27" s="50"/>
      <c r="U27" s="142"/>
      <c r="V27" s="69"/>
      <c r="W27" s="74"/>
      <c r="X27" s="20"/>
      <c r="Y27" s="21"/>
      <c r="Z27" s="21"/>
      <c r="AA27" s="22"/>
      <c r="AB27" s="23"/>
      <c r="AC27" s="24"/>
    </row>
    <row r="28" spans="1:29" ht="48.95" customHeight="1">
      <c r="A28" s="5"/>
      <c r="B28" s="195"/>
      <c r="C28" s="76"/>
      <c r="D28" s="2"/>
      <c r="E28" s="97"/>
      <c r="F28" s="50"/>
      <c r="G28" s="16"/>
      <c r="H28" s="79"/>
      <c r="I28" s="64"/>
      <c r="J28" s="72"/>
      <c r="K28" s="4"/>
      <c r="L28" s="14"/>
      <c r="M28" s="14"/>
      <c r="N28" s="16"/>
      <c r="O28" s="17"/>
      <c r="P28" s="89"/>
      <c r="Q28" s="76"/>
      <c r="R28" s="18"/>
      <c r="S28" s="97"/>
      <c r="T28" s="50"/>
      <c r="U28" s="142"/>
      <c r="V28" s="69"/>
      <c r="W28" s="74"/>
      <c r="X28" s="20"/>
      <c r="Y28" s="21"/>
      <c r="Z28" s="21"/>
      <c r="AA28" s="22"/>
      <c r="AB28" s="23"/>
      <c r="AC28" s="24"/>
    </row>
    <row r="29" spans="1:29" ht="28.5" customHeight="1">
      <c r="A29" s="5"/>
      <c r="B29" s="195"/>
      <c r="C29" s="76"/>
      <c r="D29" s="2"/>
      <c r="E29" s="97"/>
      <c r="F29" s="50"/>
      <c r="G29" s="16"/>
      <c r="H29" s="79"/>
      <c r="I29" s="64"/>
      <c r="J29" s="72"/>
      <c r="K29" s="4"/>
      <c r="L29" s="14"/>
      <c r="M29" s="14"/>
      <c r="N29" s="16"/>
      <c r="O29" s="17"/>
      <c r="P29" s="89"/>
      <c r="Q29" s="76"/>
      <c r="R29" s="2"/>
      <c r="S29" s="97"/>
      <c r="T29" s="50"/>
      <c r="U29" s="142"/>
      <c r="V29" s="69"/>
      <c r="W29" s="74"/>
      <c r="X29" s="20"/>
      <c r="Y29" s="21"/>
      <c r="Z29" s="21"/>
      <c r="AA29" s="22"/>
      <c r="AB29" s="23"/>
      <c r="AC29" s="24"/>
    </row>
    <row r="30" spans="1:29" ht="37.5" customHeight="1">
      <c r="A30" s="5"/>
      <c r="B30" s="196"/>
      <c r="C30" s="78"/>
      <c r="D30" s="2"/>
      <c r="E30" s="97"/>
      <c r="F30" s="50"/>
      <c r="G30" s="80"/>
      <c r="H30" s="79"/>
      <c r="I30" s="64"/>
      <c r="J30" s="72"/>
      <c r="K30" s="176"/>
      <c r="L30" s="14"/>
      <c r="M30" s="14"/>
      <c r="N30" s="16"/>
      <c r="O30" s="17"/>
      <c r="P30" s="89"/>
      <c r="Q30" s="76"/>
      <c r="R30" s="18"/>
      <c r="S30" s="97"/>
      <c r="T30" s="50"/>
      <c r="U30" s="142"/>
      <c r="V30" s="69"/>
      <c r="W30" s="74"/>
      <c r="X30" s="20"/>
      <c r="Y30" s="21"/>
      <c r="Z30" s="21"/>
      <c r="AA30" s="22"/>
      <c r="AB30" s="23"/>
      <c r="AC30" s="24"/>
    </row>
    <row r="31" spans="1:29" ht="55.5" customHeight="1">
      <c r="A31" s="5"/>
      <c r="B31" s="195"/>
      <c r="C31" s="76"/>
      <c r="D31" s="2"/>
      <c r="E31" s="97"/>
      <c r="F31" s="50"/>
      <c r="G31" s="16"/>
      <c r="H31" s="79"/>
      <c r="I31" s="64"/>
      <c r="J31" s="72"/>
      <c r="K31" s="200"/>
      <c r="L31" s="14"/>
      <c r="M31" s="14"/>
      <c r="N31" s="16"/>
      <c r="O31" s="17"/>
      <c r="P31" s="89"/>
      <c r="Q31" s="76"/>
      <c r="R31" s="18"/>
      <c r="S31" s="97"/>
      <c r="T31" s="50"/>
      <c r="U31" s="142"/>
      <c r="V31" s="69"/>
      <c r="W31" s="74"/>
      <c r="X31" s="201"/>
      <c r="Y31" s="21"/>
      <c r="Z31" s="21"/>
      <c r="AA31" s="22"/>
      <c r="AB31" s="23"/>
      <c r="AC31" s="24"/>
    </row>
    <row r="32" spans="1:29" ht="28.5" customHeight="1">
      <c r="A32" s="5"/>
      <c r="B32" s="195"/>
      <c r="C32" s="76"/>
      <c r="D32" s="2"/>
      <c r="E32" s="97"/>
      <c r="F32" s="50"/>
      <c r="G32" s="80"/>
      <c r="H32" s="79"/>
      <c r="I32" s="64"/>
      <c r="J32" s="72"/>
      <c r="K32" s="4"/>
      <c r="L32" s="14"/>
      <c r="M32" s="14"/>
      <c r="N32" s="16"/>
      <c r="O32" s="17"/>
      <c r="P32" s="89"/>
      <c r="Q32" s="76"/>
      <c r="R32" s="18"/>
      <c r="S32" s="97"/>
      <c r="T32" s="50"/>
      <c r="U32" s="142"/>
      <c r="V32" s="69"/>
      <c r="W32" s="74"/>
      <c r="X32" s="20"/>
      <c r="Y32" s="21"/>
      <c r="Z32" s="21"/>
      <c r="AA32" s="22"/>
      <c r="AB32" s="23"/>
      <c r="AC32" s="24"/>
    </row>
    <row r="33" spans="1:29" ht="28.5" customHeight="1">
      <c r="A33" s="5"/>
      <c r="B33" s="195"/>
      <c r="C33" s="76"/>
      <c r="D33" s="2"/>
      <c r="E33" s="97"/>
      <c r="F33" s="50"/>
      <c r="G33" s="80"/>
      <c r="H33" s="79"/>
      <c r="I33" s="64"/>
      <c r="J33" s="72"/>
      <c r="K33" s="4"/>
      <c r="L33" s="14"/>
      <c r="M33" s="14"/>
      <c r="N33" s="16"/>
      <c r="O33" s="17"/>
      <c r="P33" s="89"/>
      <c r="Q33" s="77"/>
      <c r="R33" s="18"/>
      <c r="S33" s="97"/>
      <c r="T33" s="50"/>
      <c r="U33" s="142"/>
      <c r="V33" s="69"/>
      <c r="W33" s="74"/>
      <c r="X33" s="20"/>
      <c r="Y33" s="21"/>
      <c r="Z33" s="21"/>
      <c r="AA33" s="22"/>
      <c r="AB33" s="23"/>
      <c r="AC33" s="24"/>
    </row>
    <row r="34" spans="1:29" ht="28.5" customHeight="1">
      <c r="A34" s="5"/>
      <c r="B34" s="195"/>
      <c r="C34" s="76"/>
      <c r="D34" s="2"/>
      <c r="E34" s="97"/>
      <c r="F34" s="50"/>
      <c r="G34" s="16"/>
      <c r="H34" s="79"/>
      <c r="I34" s="64"/>
      <c r="J34" s="72"/>
      <c r="K34" s="200"/>
      <c r="L34" s="14"/>
      <c r="M34" s="14"/>
      <c r="N34" s="16"/>
      <c r="O34" s="17"/>
      <c r="P34" s="89"/>
      <c r="Q34" s="76"/>
      <c r="R34" s="18"/>
      <c r="S34" s="97"/>
      <c r="T34" s="50"/>
      <c r="U34" s="142"/>
      <c r="V34" s="69"/>
      <c r="W34" s="74"/>
      <c r="X34" s="201"/>
      <c r="Y34" s="21"/>
      <c r="Z34" s="21"/>
      <c r="AA34" s="22"/>
      <c r="AB34" s="23"/>
      <c r="AC34" s="24"/>
    </row>
    <row r="35" spans="1:29" ht="28.5" customHeight="1">
      <c r="A35" s="5"/>
      <c r="B35" s="195"/>
      <c r="C35" s="76"/>
      <c r="D35" s="2"/>
      <c r="E35" s="97"/>
      <c r="F35" s="50"/>
      <c r="G35" s="16"/>
      <c r="H35" s="79"/>
      <c r="I35" s="64"/>
      <c r="J35" s="72"/>
      <c r="K35" s="4"/>
      <c r="L35" s="14"/>
      <c r="M35" s="14"/>
      <c r="N35" s="16"/>
      <c r="O35" s="26"/>
      <c r="P35" s="89"/>
      <c r="Q35" s="76"/>
      <c r="R35" s="18"/>
      <c r="S35" s="97"/>
      <c r="T35" s="50"/>
      <c r="U35" s="142"/>
      <c r="V35" s="69"/>
      <c r="W35" s="74"/>
      <c r="X35" s="201"/>
      <c r="Y35" s="21"/>
      <c r="Z35" s="21"/>
      <c r="AA35" s="22"/>
      <c r="AB35" s="23"/>
      <c r="AC35" s="24"/>
    </row>
    <row r="36" spans="1:29" ht="28.5" customHeight="1">
      <c r="A36" s="5"/>
      <c r="B36" s="195"/>
      <c r="C36" s="76"/>
      <c r="D36" s="2"/>
      <c r="E36" s="97"/>
      <c r="F36" s="50"/>
      <c r="G36" s="16"/>
      <c r="H36" s="79"/>
      <c r="I36" s="64"/>
      <c r="J36" s="72"/>
      <c r="K36" s="4"/>
      <c r="L36" s="14"/>
      <c r="M36" s="14"/>
      <c r="N36" s="16"/>
      <c r="O36" s="17"/>
      <c r="P36" s="89"/>
      <c r="Q36" s="76"/>
      <c r="R36" s="18"/>
      <c r="S36" s="97"/>
      <c r="T36" s="50"/>
      <c r="U36" s="142"/>
      <c r="V36" s="69"/>
      <c r="W36" s="74"/>
      <c r="X36" s="20"/>
      <c r="Y36" s="21"/>
      <c r="Z36" s="21"/>
      <c r="AA36" s="22"/>
      <c r="AB36" s="23"/>
      <c r="AC36" s="24"/>
    </row>
    <row r="37" spans="1:29" ht="28.5" customHeight="1">
      <c r="A37" s="5"/>
      <c r="B37" s="195"/>
      <c r="C37" s="76"/>
      <c r="D37" s="2"/>
      <c r="E37" s="97"/>
      <c r="F37" s="50"/>
      <c r="G37" s="16"/>
      <c r="H37" s="79"/>
      <c r="I37" s="64"/>
      <c r="J37" s="72"/>
      <c r="K37" s="4"/>
      <c r="L37" s="14"/>
      <c r="M37" s="14"/>
      <c r="N37" s="16"/>
      <c r="O37" s="17"/>
      <c r="P37" s="89"/>
      <c r="Q37" s="76"/>
      <c r="R37" s="18"/>
      <c r="S37" s="97"/>
      <c r="T37" s="50"/>
      <c r="U37" s="142"/>
      <c r="V37" s="69"/>
      <c r="W37" s="74"/>
      <c r="X37" s="20"/>
      <c r="Y37" s="21"/>
      <c r="Z37" s="21"/>
      <c r="AA37" s="22"/>
      <c r="AB37" s="23"/>
      <c r="AC37" s="24"/>
    </row>
    <row r="38" spans="1:29" ht="28.5" customHeight="1">
      <c r="A38" s="5"/>
      <c r="B38" s="195"/>
      <c r="C38" s="76"/>
      <c r="D38" s="2"/>
      <c r="E38" s="97"/>
      <c r="F38" s="50"/>
      <c r="G38" s="80"/>
      <c r="H38" s="79"/>
      <c r="I38" s="64"/>
      <c r="J38" s="72"/>
      <c r="K38" s="4"/>
      <c r="L38" s="14"/>
      <c r="M38" s="14"/>
      <c r="N38" s="16"/>
      <c r="O38" s="26"/>
      <c r="P38" s="89"/>
      <c r="Q38" s="76"/>
      <c r="R38" s="18"/>
      <c r="S38" s="97"/>
      <c r="T38" s="50"/>
      <c r="U38" s="142"/>
      <c r="V38" s="69"/>
      <c r="W38" s="74"/>
      <c r="X38" s="20"/>
      <c r="Y38" s="21"/>
      <c r="Z38" s="21"/>
      <c r="AA38" s="22"/>
      <c r="AB38" s="23"/>
      <c r="AC38" s="24"/>
    </row>
    <row r="39" spans="1:29" ht="28.5" customHeight="1">
      <c r="A39" s="5"/>
      <c r="B39" s="195"/>
      <c r="C39" s="76"/>
      <c r="D39" s="2"/>
      <c r="E39" s="97"/>
      <c r="F39" s="50"/>
      <c r="G39" s="80"/>
      <c r="H39" s="79"/>
      <c r="I39" s="64"/>
      <c r="J39" s="72"/>
      <c r="K39" s="4"/>
      <c r="L39" s="14"/>
      <c r="M39" s="14"/>
      <c r="N39" s="16"/>
      <c r="O39" s="17"/>
      <c r="P39" s="89"/>
      <c r="Q39" s="76"/>
      <c r="R39" s="18"/>
      <c r="S39" s="97"/>
      <c r="T39" s="50"/>
      <c r="U39" s="142"/>
      <c r="V39" s="69"/>
      <c r="W39" s="74"/>
      <c r="X39" s="20"/>
      <c r="Y39" s="21"/>
      <c r="Z39" s="21"/>
      <c r="AA39" s="22"/>
      <c r="AB39" s="23"/>
      <c r="AC39" s="24"/>
    </row>
    <row r="40" spans="1:29" ht="28.5" customHeight="1">
      <c r="A40" s="5"/>
      <c r="B40" s="195"/>
      <c r="C40" s="76"/>
      <c r="D40" s="2"/>
      <c r="E40" s="97"/>
      <c r="F40" s="50"/>
      <c r="G40" s="80"/>
      <c r="H40" s="79"/>
      <c r="I40" s="64"/>
      <c r="J40" s="72"/>
      <c r="K40" s="4"/>
      <c r="L40" s="14"/>
      <c r="M40" s="14"/>
      <c r="N40" s="16"/>
      <c r="O40" s="17"/>
      <c r="P40" s="90"/>
      <c r="Q40" s="76"/>
      <c r="R40" s="18"/>
      <c r="S40" s="97"/>
      <c r="T40" s="50"/>
      <c r="U40" s="142"/>
      <c r="V40" s="69"/>
      <c r="W40" s="74"/>
      <c r="X40" s="20"/>
      <c r="Y40" s="21"/>
      <c r="Z40" s="21"/>
      <c r="AA40" s="22"/>
      <c r="AB40" s="23"/>
      <c r="AC40" s="24"/>
    </row>
    <row r="41" spans="1:29" ht="28.5" customHeight="1">
      <c r="A41" s="5"/>
      <c r="B41" s="195"/>
      <c r="C41" s="76"/>
      <c r="D41" s="2"/>
      <c r="E41" s="97"/>
      <c r="F41" s="50"/>
      <c r="G41" s="16"/>
      <c r="H41" s="79"/>
      <c r="I41" s="64"/>
      <c r="J41" s="72"/>
      <c r="K41" s="176"/>
      <c r="L41" s="14"/>
      <c r="M41" s="14"/>
      <c r="N41" s="16"/>
      <c r="O41" s="17"/>
      <c r="P41" s="89"/>
      <c r="Q41" s="76"/>
      <c r="R41" s="18"/>
      <c r="S41" s="97"/>
      <c r="T41" s="50"/>
      <c r="U41" s="142"/>
      <c r="V41" s="69"/>
      <c r="W41" s="74"/>
      <c r="X41" s="20"/>
      <c r="Y41" s="21"/>
      <c r="Z41" s="21"/>
      <c r="AA41" s="22"/>
      <c r="AB41" s="23"/>
      <c r="AC41" s="24"/>
    </row>
    <row r="42" spans="1:29" ht="28.5" customHeight="1">
      <c r="A42" s="5"/>
      <c r="B42" s="195"/>
      <c r="C42" s="76"/>
      <c r="D42" s="2"/>
      <c r="E42" s="97"/>
      <c r="F42" s="50"/>
      <c r="G42" s="80"/>
      <c r="H42" s="79"/>
      <c r="I42" s="64"/>
      <c r="J42" s="72"/>
      <c r="K42" s="4"/>
      <c r="L42" s="14"/>
      <c r="M42" s="14"/>
      <c r="N42" s="16"/>
      <c r="O42" s="17"/>
      <c r="P42" s="89"/>
      <c r="Q42" s="76"/>
      <c r="R42" s="18"/>
      <c r="S42" s="97"/>
      <c r="T42" s="50"/>
      <c r="U42" s="142"/>
      <c r="V42" s="69"/>
      <c r="W42" s="74"/>
      <c r="X42" s="20"/>
      <c r="Y42" s="21"/>
      <c r="Z42" s="21"/>
      <c r="AA42" s="22"/>
      <c r="AB42" s="23"/>
      <c r="AC42" s="24"/>
    </row>
    <row r="43" spans="1:29" ht="28.5" customHeight="1">
      <c r="A43" s="5"/>
      <c r="B43" s="195"/>
      <c r="C43" s="76"/>
      <c r="D43" s="2"/>
      <c r="E43" s="97"/>
      <c r="F43" s="50"/>
      <c r="G43" s="80"/>
      <c r="H43" s="79"/>
      <c r="I43" s="64"/>
      <c r="J43" s="72"/>
      <c r="K43" s="176"/>
      <c r="L43" s="14"/>
      <c r="M43" s="14"/>
      <c r="N43" s="16"/>
      <c r="O43" s="17"/>
      <c r="P43" s="89"/>
      <c r="Q43" s="76"/>
      <c r="R43" s="2"/>
      <c r="S43" s="97"/>
      <c r="T43" s="50"/>
      <c r="U43" s="142"/>
      <c r="V43" s="69"/>
      <c r="W43" s="74"/>
      <c r="X43" s="201"/>
      <c r="Y43" s="21"/>
      <c r="Z43" s="21"/>
      <c r="AA43" s="22"/>
      <c r="AB43" s="23"/>
      <c r="AC43" s="24"/>
    </row>
    <row r="44" spans="1:29" ht="28.5" customHeight="1">
      <c r="A44" s="5"/>
      <c r="B44" s="195"/>
      <c r="C44" s="76"/>
      <c r="D44" s="2"/>
      <c r="E44" s="97"/>
      <c r="F44" s="50"/>
      <c r="G44" s="16"/>
      <c r="H44" s="79"/>
      <c r="I44" s="64"/>
      <c r="J44" s="72"/>
      <c r="K44" s="176"/>
      <c r="L44" s="14"/>
      <c r="M44" s="14"/>
      <c r="N44" s="16"/>
      <c r="O44" s="17"/>
      <c r="P44" s="89"/>
      <c r="Q44" s="76"/>
      <c r="R44" s="18"/>
      <c r="S44" s="97"/>
      <c r="T44" s="50"/>
      <c r="U44" s="142"/>
      <c r="V44" s="69"/>
      <c r="W44" s="74"/>
      <c r="X44" s="20"/>
      <c r="Y44" s="21"/>
      <c r="Z44" s="21"/>
      <c r="AA44" s="22"/>
      <c r="AB44" s="23"/>
      <c r="AC44" s="24"/>
    </row>
    <row r="45" spans="1:29" ht="28.5" customHeight="1">
      <c r="A45" s="5"/>
      <c r="B45" s="195"/>
      <c r="C45" s="76"/>
      <c r="D45" s="2"/>
      <c r="E45" s="97"/>
      <c r="F45" s="50"/>
      <c r="G45" s="80"/>
      <c r="H45" s="79"/>
      <c r="I45" s="64"/>
      <c r="J45" s="72"/>
      <c r="K45" s="176"/>
      <c r="L45" s="14"/>
      <c r="M45" s="14"/>
      <c r="N45" s="22"/>
      <c r="O45" s="23"/>
      <c r="P45" s="89"/>
      <c r="Q45" s="77"/>
      <c r="R45" s="18"/>
      <c r="S45" s="97"/>
      <c r="T45" s="50"/>
      <c r="U45" s="142"/>
      <c r="V45" s="69"/>
      <c r="W45" s="74"/>
      <c r="X45" s="20"/>
      <c r="Y45" s="29"/>
      <c r="Z45" s="29"/>
      <c r="AA45" s="22"/>
      <c r="AB45" s="23"/>
      <c r="AC45" s="24"/>
    </row>
    <row r="46" spans="1:29" ht="28.5" customHeight="1">
      <c r="A46" s="5"/>
      <c r="B46" s="195"/>
      <c r="C46" s="76"/>
      <c r="D46" s="18"/>
      <c r="E46" s="97"/>
      <c r="F46" s="50"/>
      <c r="G46" s="80"/>
      <c r="H46" s="79"/>
      <c r="I46" s="64"/>
      <c r="J46" s="72"/>
      <c r="K46" s="176"/>
      <c r="L46" s="14"/>
      <c r="M46" s="14"/>
      <c r="N46" s="30"/>
      <c r="O46" s="27"/>
      <c r="P46" s="89"/>
      <c r="Q46" s="76"/>
      <c r="R46" s="18"/>
      <c r="S46" s="97"/>
      <c r="T46" s="50"/>
      <c r="U46" s="142"/>
      <c r="V46" s="69"/>
      <c r="W46" s="74"/>
      <c r="X46" s="20"/>
      <c r="Y46" s="21"/>
      <c r="Z46" s="21"/>
      <c r="AA46" s="22"/>
      <c r="AB46" s="23"/>
      <c r="AC46" s="24"/>
    </row>
    <row r="47" spans="1:29" ht="44.45" customHeight="1">
      <c r="A47" s="5"/>
      <c r="B47" s="195"/>
      <c r="C47" s="77"/>
      <c r="D47" s="2"/>
      <c r="E47" s="97"/>
      <c r="F47" s="50"/>
      <c r="G47" s="80"/>
      <c r="H47" s="79"/>
      <c r="I47" s="64"/>
      <c r="J47" s="72"/>
      <c r="K47" s="200"/>
      <c r="L47" s="14"/>
      <c r="M47" s="14"/>
      <c r="N47" s="16"/>
      <c r="O47" s="17"/>
      <c r="P47" s="89"/>
      <c r="Q47" s="76"/>
      <c r="R47" s="18"/>
      <c r="S47" s="97"/>
      <c r="T47" s="50"/>
      <c r="U47" s="142"/>
      <c r="V47" s="69"/>
      <c r="W47" s="74"/>
      <c r="X47" s="20"/>
      <c r="Y47" s="21"/>
      <c r="Z47" s="21"/>
      <c r="AA47" s="22"/>
      <c r="AB47" s="23"/>
      <c r="AC47" s="24"/>
    </row>
    <row r="48" spans="1:29" ht="28.5" customHeight="1">
      <c r="A48" s="5"/>
      <c r="B48" s="195"/>
      <c r="C48" s="76"/>
      <c r="D48" s="2"/>
      <c r="E48" s="97"/>
      <c r="F48" s="50"/>
      <c r="G48" s="16"/>
      <c r="H48" s="79"/>
      <c r="I48" s="64"/>
      <c r="J48" s="72"/>
      <c r="K48" s="176"/>
      <c r="L48" s="14"/>
      <c r="M48" s="14"/>
      <c r="N48" s="16"/>
      <c r="O48" s="17"/>
      <c r="P48" s="89"/>
      <c r="Q48" s="76"/>
      <c r="R48" s="18"/>
      <c r="S48" s="97"/>
      <c r="T48" s="50"/>
      <c r="U48" s="142"/>
      <c r="V48" s="69"/>
      <c r="W48" s="74"/>
      <c r="X48" s="20"/>
      <c r="Y48" s="21"/>
      <c r="Z48" s="21"/>
      <c r="AA48" s="22"/>
      <c r="AB48" s="23"/>
      <c r="AC48" s="24"/>
    </row>
    <row r="49" spans="1:30" ht="28.5" customHeight="1">
      <c r="A49" s="5"/>
      <c r="B49" s="195"/>
      <c r="C49" s="76"/>
      <c r="D49" s="2"/>
      <c r="E49" s="97"/>
      <c r="F49" s="50"/>
      <c r="G49" s="16"/>
      <c r="H49" s="79"/>
      <c r="I49" s="64"/>
      <c r="J49" s="72"/>
      <c r="K49" s="176"/>
      <c r="L49" s="14"/>
      <c r="M49" s="14"/>
      <c r="N49" s="16"/>
      <c r="O49" s="17"/>
      <c r="P49" s="89"/>
      <c r="Q49" s="76"/>
      <c r="R49" s="18"/>
      <c r="S49" s="97"/>
      <c r="T49" s="50"/>
      <c r="U49" s="142"/>
      <c r="V49" s="69"/>
      <c r="W49" s="74"/>
      <c r="X49" s="20"/>
      <c r="Y49" s="21"/>
      <c r="Z49" s="21"/>
      <c r="AA49" s="22"/>
      <c r="AB49" s="23"/>
      <c r="AC49" s="24"/>
    </row>
    <row r="50" spans="1:30" ht="28.5" customHeight="1">
      <c r="A50" s="5"/>
      <c r="B50" s="195"/>
      <c r="C50" s="76"/>
      <c r="D50" s="2"/>
      <c r="E50" s="97"/>
      <c r="F50" s="50"/>
      <c r="G50" s="80"/>
      <c r="H50" s="79"/>
      <c r="I50" s="64"/>
      <c r="J50" s="72"/>
      <c r="K50" s="4"/>
      <c r="L50" s="14"/>
      <c r="M50" s="14"/>
      <c r="N50" s="16"/>
      <c r="O50" s="17"/>
      <c r="P50" s="89"/>
      <c r="Q50" s="76"/>
      <c r="R50" s="2"/>
      <c r="S50" s="97"/>
      <c r="T50" s="50"/>
      <c r="U50" s="142"/>
      <c r="V50" s="69"/>
      <c r="W50" s="74"/>
      <c r="X50" s="20"/>
      <c r="Y50" s="21"/>
      <c r="Z50" s="21"/>
      <c r="AA50" s="22"/>
      <c r="AB50" s="23"/>
      <c r="AC50" s="24"/>
    </row>
    <row r="51" spans="1:30" ht="40.5" customHeight="1">
      <c r="A51" s="5"/>
      <c r="B51" s="197"/>
      <c r="C51" s="54"/>
      <c r="D51" s="18"/>
      <c r="E51" s="31"/>
      <c r="F51" s="18"/>
      <c r="G51" s="14"/>
      <c r="H51" s="14"/>
      <c r="I51" s="64"/>
      <c r="J51" s="73"/>
      <c r="K51" s="21"/>
      <c r="L51" s="14"/>
      <c r="M51" s="14"/>
      <c r="N51" s="14"/>
      <c r="O51" s="32"/>
      <c r="P51" s="89"/>
      <c r="Q51" s="76"/>
      <c r="R51" s="2"/>
      <c r="S51" s="103"/>
      <c r="T51" s="51"/>
      <c r="U51" s="142"/>
      <c r="V51" s="69"/>
      <c r="W51" s="74"/>
      <c r="X51" s="20"/>
      <c r="Y51" s="21"/>
      <c r="Z51" s="21"/>
      <c r="AA51" s="22"/>
      <c r="AB51" s="23"/>
      <c r="AC51" s="33"/>
    </row>
    <row r="52" spans="1:30" ht="55.5" customHeight="1">
      <c r="A52" s="5"/>
      <c r="B52" s="198"/>
      <c r="C52" s="54"/>
      <c r="D52" s="18"/>
      <c r="E52" s="31"/>
      <c r="F52" s="18"/>
      <c r="G52" s="14"/>
      <c r="H52" s="14"/>
      <c r="I52" s="64"/>
      <c r="J52" s="73"/>
      <c r="K52" s="34"/>
      <c r="L52" s="14"/>
      <c r="M52" s="14"/>
      <c r="N52" s="14"/>
      <c r="O52" s="32"/>
      <c r="P52" s="89"/>
      <c r="Q52" s="77"/>
      <c r="R52" s="18"/>
      <c r="S52" s="103"/>
      <c r="T52" s="50"/>
      <c r="U52" s="142"/>
      <c r="V52" s="69"/>
      <c r="W52" s="74"/>
      <c r="X52" s="20"/>
      <c r="Y52" s="21"/>
      <c r="Z52" s="21"/>
      <c r="AA52" s="22"/>
      <c r="AB52" s="23"/>
      <c r="AC52" s="2"/>
    </row>
    <row r="53" spans="1:30" ht="54.95" customHeight="1">
      <c r="A53" s="5"/>
      <c r="B53" s="197"/>
      <c r="C53" s="54"/>
      <c r="D53" s="18"/>
      <c r="E53" s="31"/>
      <c r="F53" s="20"/>
      <c r="G53" s="14"/>
      <c r="H53" s="14"/>
      <c r="I53" s="64"/>
      <c r="J53" s="73"/>
      <c r="K53" s="34"/>
      <c r="L53" s="14"/>
      <c r="M53" s="14"/>
      <c r="N53" s="14"/>
      <c r="O53" s="32"/>
      <c r="P53" s="89"/>
      <c r="Q53" s="76"/>
      <c r="R53" s="2"/>
      <c r="S53" s="103"/>
      <c r="T53" s="50"/>
      <c r="U53" s="142"/>
      <c r="V53" s="69"/>
      <c r="W53" s="74"/>
      <c r="X53" s="201"/>
      <c r="Y53" s="21"/>
      <c r="Z53" s="21"/>
      <c r="AA53" s="22"/>
      <c r="AB53" s="23"/>
      <c r="AC53" s="2"/>
      <c r="AD53" s="120"/>
    </row>
    <row r="54" spans="1:30" ht="28.5" customHeight="1">
      <c r="A54" s="5"/>
      <c r="B54" s="197"/>
      <c r="C54" s="54"/>
      <c r="D54" s="18"/>
      <c r="E54" s="31"/>
      <c r="F54" s="20"/>
      <c r="G54" s="14"/>
      <c r="H54" s="14"/>
      <c r="I54" s="64"/>
      <c r="J54" s="73"/>
      <c r="K54" s="34"/>
      <c r="L54" s="14"/>
      <c r="M54" s="14"/>
      <c r="N54" s="14"/>
      <c r="O54" s="32"/>
      <c r="P54" s="91"/>
      <c r="Q54" s="76"/>
      <c r="R54" s="2"/>
      <c r="S54" s="103"/>
      <c r="T54" s="50"/>
      <c r="U54" s="142"/>
      <c r="V54" s="69"/>
      <c r="W54" s="74"/>
      <c r="X54" s="201"/>
      <c r="Y54" s="21"/>
      <c r="Z54" s="21"/>
      <c r="AA54" s="22"/>
      <c r="AB54" s="23"/>
      <c r="AC54" s="35"/>
    </row>
    <row r="55" spans="1:30" ht="28.5" customHeight="1">
      <c r="A55" s="5"/>
      <c r="B55" s="197"/>
      <c r="C55" s="54"/>
      <c r="D55" s="2"/>
      <c r="E55" s="19"/>
      <c r="F55" s="10"/>
      <c r="G55" s="14"/>
      <c r="H55" s="14"/>
      <c r="I55" s="64"/>
      <c r="J55" s="72"/>
      <c r="K55" s="4"/>
      <c r="L55" s="14"/>
      <c r="M55" s="14"/>
      <c r="N55" s="14"/>
      <c r="O55" s="32"/>
      <c r="P55" s="89"/>
      <c r="Q55" s="76"/>
      <c r="R55" s="2"/>
      <c r="S55" s="103"/>
      <c r="T55" s="50"/>
      <c r="U55" s="142"/>
      <c r="V55" s="69"/>
      <c r="W55" s="74"/>
      <c r="X55" s="20"/>
      <c r="Y55" s="21"/>
      <c r="Z55" s="21"/>
      <c r="AA55" s="22"/>
      <c r="AB55" s="23"/>
      <c r="AC55" s="2"/>
    </row>
    <row r="56" spans="1:30" ht="28.5" customHeight="1">
      <c r="A56" s="5"/>
      <c r="B56" s="197"/>
      <c r="C56" s="54"/>
      <c r="D56" s="2"/>
      <c r="E56" s="19"/>
      <c r="F56" s="10"/>
      <c r="G56" s="14"/>
      <c r="H56" s="14"/>
      <c r="I56" s="64"/>
      <c r="J56" s="72"/>
      <c r="K56" s="4"/>
      <c r="L56" s="14"/>
      <c r="M56" s="14"/>
      <c r="N56" s="14"/>
      <c r="O56" s="32"/>
      <c r="P56" s="92"/>
      <c r="Q56" s="76"/>
      <c r="R56" s="18"/>
      <c r="S56" s="103"/>
      <c r="T56" s="50"/>
      <c r="U56" s="142"/>
      <c r="V56" s="69"/>
      <c r="W56" s="74"/>
      <c r="X56" s="20"/>
      <c r="Y56" s="21"/>
      <c r="Z56" s="21"/>
      <c r="AA56" s="22"/>
      <c r="AB56" s="23"/>
      <c r="AC56" s="2"/>
    </row>
    <row r="57" spans="1:30" ht="28.5" customHeight="1">
      <c r="A57" s="5"/>
      <c r="B57" s="197"/>
      <c r="C57" s="54"/>
      <c r="D57" s="2"/>
      <c r="E57" s="19"/>
      <c r="F57" s="10"/>
      <c r="G57" s="14"/>
      <c r="H57" s="14"/>
      <c r="I57" s="64"/>
      <c r="J57" s="72"/>
      <c r="K57" s="4"/>
      <c r="L57" s="14"/>
      <c r="M57" s="14"/>
      <c r="N57" s="14"/>
      <c r="O57" s="32"/>
      <c r="P57" s="92"/>
      <c r="Q57" s="76"/>
      <c r="R57" s="18"/>
      <c r="S57" s="103"/>
      <c r="T57" s="50"/>
      <c r="U57" s="142"/>
      <c r="V57" s="69"/>
      <c r="W57" s="74"/>
      <c r="X57" s="20"/>
      <c r="Y57" s="21"/>
      <c r="Z57" s="21"/>
      <c r="AA57" s="22"/>
      <c r="AB57" s="23"/>
      <c r="AC57" s="2"/>
    </row>
    <row r="58" spans="1:30" ht="28.5" customHeight="1">
      <c r="A58" s="5"/>
      <c r="B58" s="197"/>
      <c r="C58" s="54"/>
      <c r="D58" s="2"/>
      <c r="E58" s="19"/>
      <c r="F58" s="10"/>
      <c r="G58" s="14"/>
      <c r="H58" s="14"/>
      <c r="I58" s="64"/>
      <c r="J58" s="72"/>
      <c r="K58" s="4"/>
      <c r="L58" s="14"/>
      <c r="M58" s="14"/>
      <c r="N58" s="14"/>
      <c r="O58" s="32"/>
      <c r="P58" s="92"/>
      <c r="Q58" s="77"/>
      <c r="R58" s="18"/>
      <c r="S58" s="103"/>
      <c r="T58" s="50"/>
      <c r="U58" s="142"/>
      <c r="V58" s="69"/>
      <c r="W58" s="74"/>
      <c r="X58" s="20"/>
      <c r="Y58" s="21"/>
      <c r="Z58" s="21"/>
      <c r="AA58" s="22"/>
      <c r="AB58" s="23"/>
      <c r="AC58" s="2"/>
    </row>
    <row r="59" spans="1:30" ht="28.5" customHeight="1">
      <c r="A59" s="5"/>
      <c r="B59" s="197"/>
      <c r="C59" s="54"/>
      <c r="D59" s="2"/>
      <c r="E59" s="19"/>
      <c r="F59" s="10"/>
      <c r="G59" s="14"/>
      <c r="H59" s="14"/>
      <c r="I59" s="64"/>
      <c r="J59" s="72"/>
      <c r="K59" s="4"/>
      <c r="L59" s="14"/>
      <c r="M59" s="14"/>
      <c r="N59" s="14"/>
      <c r="O59" s="32"/>
      <c r="P59" s="89"/>
      <c r="Q59" s="76"/>
      <c r="R59" s="18"/>
      <c r="S59" s="103"/>
      <c r="T59" s="51"/>
      <c r="U59" s="142"/>
      <c r="V59" s="69"/>
      <c r="W59" s="74"/>
      <c r="X59" s="20"/>
      <c r="Y59" s="21"/>
      <c r="Z59" s="21"/>
      <c r="AA59" s="22"/>
      <c r="AB59" s="23"/>
      <c r="AC59" s="2"/>
    </row>
    <row r="60" spans="1:30" ht="28.5" customHeight="1">
      <c r="A60" s="5"/>
      <c r="B60" s="197"/>
      <c r="C60" s="54"/>
      <c r="D60" s="2"/>
      <c r="E60" s="19"/>
      <c r="F60" s="10"/>
      <c r="G60" s="14"/>
      <c r="H60" s="14"/>
      <c r="I60" s="64"/>
      <c r="J60" s="72"/>
      <c r="K60" s="4"/>
      <c r="L60" s="14"/>
      <c r="M60" s="14"/>
      <c r="N60" s="14"/>
      <c r="O60" s="32"/>
      <c r="P60" s="92"/>
      <c r="Q60" s="76"/>
      <c r="R60" s="18"/>
      <c r="S60" s="97"/>
      <c r="T60" s="50"/>
      <c r="U60" s="142"/>
      <c r="V60" s="69"/>
      <c r="W60" s="74"/>
      <c r="X60" s="201"/>
      <c r="Y60" s="21"/>
      <c r="Z60" s="21"/>
      <c r="AA60" s="22"/>
      <c r="AB60" s="23"/>
      <c r="AC60" s="10"/>
    </row>
    <row r="61" spans="1:30" ht="28.5" customHeight="1">
      <c r="A61" s="5"/>
      <c r="B61" s="197"/>
      <c r="C61" s="54"/>
      <c r="D61" s="2"/>
      <c r="E61" s="19"/>
      <c r="F61" s="10"/>
      <c r="G61" s="14"/>
      <c r="H61" s="14"/>
      <c r="I61" s="64"/>
      <c r="J61" s="72"/>
      <c r="K61" s="4"/>
      <c r="L61" s="14"/>
      <c r="M61" s="14"/>
      <c r="N61" s="14"/>
      <c r="O61" s="32"/>
      <c r="P61" s="89"/>
      <c r="Q61" s="76"/>
      <c r="R61" s="18"/>
      <c r="S61" s="103"/>
      <c r="T61" s="50"/>
      <c r="U61" s="142"/>
      <c r="V61" s="69"/>
      <c r="W61" s="74"/>
      <c r="X61" s="20"/>
      <c r="Y61" s="21"/>
      <c r="Z61" s="21"/>
      <c r="AA61" s="22"/>
      <c r="AB61" s="23"/>
      <c r="AC61" s="10"/>
    </row>
    <row r="62" spans="1:30" ht="28.5" customHeight="1">
      <c r="A62" s="5"/>
      <c r="B62" s="197"/>
      <c r="C62" s="54"/>
      <c r="D62" s="2"/>
      <c r="E62" s="19"/>
      <c r="F62" s="10"/>
      <c r="G62" s="14"/>
      <c r="H62" s="14"/>
      <c r="I62" s="64"/>
      <c r="J62" s="72"/>
      <c r="K62" s="4"/>
      <c r="L62" s="14"/>
      <c r="M62" s="14"/>
      <c r="N62" s="14"/>
      <c r="O62" s="32"/>
      <c r="P62" s="89"/>
      <c r="Q62" s="76"/>
      <c r="R62" s="18"/>
      <c r="S62" s="97"/>
      <c r="T62" s="50"/>
      <c r="U62" s="142"/>
      <c r="V62" s="69"/>
      <c r="W62" s="74"/>
      <c r="X62" s="20"/>
      <c r="Y62" s="21"/>
      <c r="Z62" s="21"/>
      <c r="AA62" s="22"/>
      <c r="AB62" s="23"/>
      <c r="AC62" s="10"/>
    </row>
    <row r="63" spans="1:30" ht="28.5" customHeight="1">
      <c r="A63" s="5"/>
      <c r="B63" s="197"/>
      <c r="C63" s="54"/>
      <c r="D63" s="2"/>
      <c r="E63" s="19"/>
      <c r="F63" s="10"/>
      <c r="G63" s="14"/>
      <c r="H63" s="14"/>
      <c r="I63" s="64"/>
      <c r="J63" s="72"/>
      <c r="K63" s="4"/>
      <c r="L63" s="14"/>
      <c r="M63" s="14"/>
      <c r="N63" s="14"/>
      <c r="O63" s="32"/>
      <c r="P63" s="89"/>
      <c r="Q63" s="76"/>
      <c r="R63" s="18"/>
      <c r="S63" s="103"/>
      <c r="T63" s="50"/>
      <c r="U63" s="142"/>
      <c r="V63" s="69"/>
      <c r="W63" s="74"/>
      <c r="X63" s="201"/>
      <c r="Y63" s="21"/>
      <c r="Z63" s="21"/>
      <c r="AA63" s="22"/>
      <c r="AB63" s="23"/>
      <c r="AC63" s="10"/>
    </row>
    <row r="64" spans="1:30" ht="28.5" customHeight="1">
      <c r="A64" s="5"/>
      <c r="B64" s="197"/>
      <c r="C64" s="54"/>
      <c r="D64" s="2"/>
      <c r="E64" s="19"/>
      <c r="F64" s="10"/>
      <c r="G64" s="14"/>
      <c r="H64" s="14"/>
      <c r="I64" s="64"/>
      <c r="J64" s="72"/>
      <c r="K64" s="4"/>
      <c r="L64" s="14"/>
      <c r="M64" s="14"/>
      <c r="N64" s="14"/>
      <c r="O64" s="32"/>
      <c r="P64" s="89"/>
      <c r="Q64" s="76"/>
      <c r="R64" s="18"/>
      <c r="S64" s="97"/>
      <c r="T64" s="50"/>
      <c r="U64" s="142"/>
      <c r="V64" s="69"/>
      <c r="W64" s="74"/>
      <c r="X64" s="20"/>
      <c r="Y64" s="21"/>
      <c r="Z64" s="21"/>
      <c r="AA64" s="22"/>
      <c r="AB64" s="23"/>
      <c r="AC64" s="10"/>
    </row>
    <row r="65" spans="1:30" ht="28.5" customHeight="1">
      <c r="A65" s="5"/>
      <c r="B65" s="197"/>
      <c r="C65" s="54"/>
      <c r="D65" s="2"/>
      <c r="E65" s="19"/>
      <c r="F65" s="10"/>
      <c r="G65" s="14"/>
      <c r="H65" s="14"/>
      <c r="I65" s="64"/>
      <c r="J65" s="72"/>
      <c r="K65" s="4"/>
      <c r="L65" s="14"/>
      <c r="M65" s="14"/>
      <c r="N65" s="14"/>
      <c r="O65" s="32"/>
      <c r="P65" s="89"/>
      <c r="Q65" s="76"/>
      <c r="R65" s="18"/>
      <c r="S65" s="97"/>
      <c r="T65" s="50"/>
      <c r="U65" s="142"/>
      <c r="V65" s="69"/>
      <c r="W65" s="74"/>
      <c r="X65" s="20"/>
      <c r="Y65" s="21"/>
      <c r="Z65" s="21"/>
      <c r="AA65" s="22"/>
      <c r="AB65" s="23"/>
      <c r="AC65" s="10"/>
    </row>
    <row r="66" spans="1:30" ht="28.5" customHeight="1">
      <c r="A66" s="5"/>
      <c r="B66" s="197"/>
      <c r="C66" s="54"/>
      <c r="D66" s="2"/>
      <c r="E66" s="19"/>
      <c r="F66" s="10"/>
      <c r="G66" s="14"/>
      <c r="H66" s="14"/>
      <c r="I66" s="64"/>
      <c r="J66" s="72"/>
      <c r="K66" s="4"/>
      <c r="L66" s="14"/>
      <c r="M66" s="14"/>
      <c r="N66" s="14"/>
      <c r="O66" s="32"/>
      <c r="P66" s="89"/>
      <c r="Q66" s="76"/>
      <c r="R66" s="18"/>
      <c r="S66" s="97"/>
      <c r="T66" s="50"/>
      <c r="U66" s="142"/>
      <c r="V66" s="69"/>
      <c r="W66" s="74"/>
      <c r="X66" s="20"/>
      <c r="Y66" s="21"/>
      <c r="Z66" s="21"/>
      <c r="AA66" s="22"/>
      <c r="AB66" s="23"/>
      <c r="AC66" s="10"/>
    </row>
    <row r="67" spans="1:30" ht="28.5" customHeight="1">
      <c r="A67" s="5"/>
      <c r="B67" s="197"/>
      <c r="C67" s="54"/>
      <c r="D67" s="2"/>
      <c r="E67" s="19"/>
      <c r="F67" s="10"/>
      <c r="G67" s="14"/>
      <c r="H67" s="14"/>
      <c r="I67" s="64"/>
      <c r="J67" s="72"/>
      <c r="K67" s="4"/>
      <c r="L67" s="14"/>
      <c r="M67" s="14"/>
      <c r="N67" s="14"/>
      <c r="O67" s="32"/>
      <c r="P67" s="89"/>
      <c r="Q67" s="76"/>
      <c r="R67" s="18"/>
      <c r="S67" s="97"/>
      <c r="T67" s="50"/>
      <c r="U67" s="142"/>
      <c r="V67" s="69"/>
      <c r="W67" s="74"/>
      <c r="X67" s="20"/>
      <c r="Y67" s="21"/>
      <c r="Z67" s="21"/>
      <c r="AA67" s="22"/>
      <c r="AB67" s="23"/>
      <c r="AC67" s="10"/>
    </row>
    <row r="68" spans="1:30" ht="28.5" customHeight="1">
      <c r="A68" s="5"/>
      <c r="B68" s="197"/>
      <c r="C68" s="54"/>
      <c r="D68" s="2"/>
      <c r="E68" s="19"/>
      <c r="F68" s="10"/>
      <c r="G68" s="14"/>
      <c r="H68" s="14"/>
      <c r="I68" s="64"/>
      <c r="J68" s="72"/>
      <c r="K68" s="4"/>
      <c r="L68" s="14"/>
      <c r="M68" s="14"/>
      <c r="N68" s="14"/>
      <c r="O68" s="32"/>
      <c r="P68" s="93"/>
      <c r="Q68" s="76"/>
      <c r="R68" s="2"/>
      <c r="S68" s="97"/>
      <c r="T68" s="51"/>
      <c r="U68" s="142"/>
      <c r="V68" s="69"/>
      <c r="W68" s="74"/>
      <c r="X68" s="20"/>
      <c r="Y68" s="21"/>
      <c r="Z68" s="21"/>
      <c r="AA68" s="22"/>
      <c r="AB68" s="23"/>
      <c r="AC68" s="10"/>
    </row>
    <row r="69" spans="1:30" ht="28.5" customHeight="1">
      <c r="A69" s="5"/>
      <c r="B69" s="197"/>
      <c r="C69" s="54"/>
      <c r="D69" s="2"/>
      <c r="E69" s="19"/>
      <c r="F69" s="10"/>
      <c r="G69" s="14"/>
      <c r="H69" s="14"/>
      <c r="I69" s="64"/>
      <c r="J69" s="72"/>
      <c r="K69" s="4"/>
      <c r="L69" s="14"/>
      <c r="M69" s="14"/>
      <c r="N69" s="14"/>
      <c r="O69" s="32"/>
      <c r="P69" s="89"/>
      <c r="Q69" s="76"/>
      <c r="R69" s="2"/>
      <c r="S69" s="97"/>
      <c r="T69" s="50"/>
      <c r="U69" s="142"/>
      <c r="V69" s="69"/>
      <c r="W69" s="74"/>
      <c r="X69" s="20"/>
      <c r="Y69" s="21"/>
      <c r="Z69" s="21"/>
      <c r="AA69" s="22"/>
      <c r="AB69" s="23"/>
      <c r="AC69" s="10"/>
    </row>
    <row r="70" spans="1:30" ht="28.5" customHeight="1">
      <c r="A70" s="5"/>
      <c r="B70" s="197"/>
      <c r="C70" s="54"/>
      <c r="D70" s="2"/>
      <c r="E70" s="19"/>
      <c r="F70" s="10"/>
      <c r="G70" s="14"/>
      <c r="H70" s="14"/>
      <c r="I70" s="64"/>
      <c r="J70" s="72"/>
      <c r="K70" s="4"/>
      <c r="L70" s="14"/>
      <c r="M70" s="14"/>
      <c r="N70" s="14"/>
      <c r="O70" s="32"/>
      <c r="P70" s="89"/>
      <c r="Q70" s="76"/>
      <c r="R70" s="18"/>
      <c r="S70" s="97"/>
      <c r="T70" s="50"/>
      <c r="U70" s="142"/>
      <c r="V70" s="69"/>
      <c r="W70" s="74"/>
      <c r="X70" s="201"/>
      <c r="Y70" s="21"/>
      <c r="Z70" s="21"/>
      <c r="AA70" s="22"/>
      <c r="AB70" s="23"/>
      <c r="AC70" s="10"/>
    </row>
    <row r="71" spans="1:30" ht="28.5" customHeight="1">
      <c r="A71" s="5"/>
      <c r="B71" s="197"/>
      <c r="C71" s="54"/>
      <c r="D71" s="2"/>
      <c r="E71" s="19"/>
      <c r="F71" s="10"/>
      <c r="G71" s="14"/>
      <c r="H71" s="14"/>
      <c r="I71" s="64"/>
      <c r="J71" s="72"/>
      <c r="K71" s="4"/>
      <c r="L71" s="14"/>
      <c r="M71" s="14"/>
      <c r="N71" s="14"/>
      <c r="O71" s="32"/>
      <c r="P71" s="89"/>
      <c r="Q71" s="76"/>
      <c r="R71" s="2"/>
      <c r="S71" s="97"/>
      <c r="T71" s="50"/>
      <c r="U71" s="142"/>
      <c r="V71" s="69"/>
      <c r="W71" s="74"/>
      <c r="X71" s="20"/>
      <c r="Y71" s="21"/>
      <c r="Z71" s="21"/>
      <c r="AA71" s="22"/>
      <c r="AB71" s="23"/>
      <c r="AC71" s="10"/>
    </row>
    <row r="72" spans="1:30" ht="55.5" customHeight="1">
      <c r="A72" s="5"/>
      <c r="B72" s="197"/>
      <c r="C72" s="54"/>
      <c r="D72" s="2"/>
      <c r="E72" s="19"/>
      <c r="F72" s="10"/>
      <c r="G72" s="14"/>
      <c r="H72" s="14"/>
      <c r="I72" s="64"/>
      <c r="J72" s="72"/>
      <c r="K72" s="4"/>
      <c r="L72" s="14"/>
      <c r="M72" s="14"/>
      <c r="N72" s="14"/>
      <c r="O72" s="32"/>
      <c r="P72" s="89"/>
      <c r="Q72" s="77"/>
      <c r="R72" s="2"/>
      <c r="S72" s="97"/>
      <c r="T72" s="50"/>
      <c r="U72" s="142"/>
      <c r="V72" s="69"/>
      <c r="W72" s="74"/>
      <c r="X72" s="20"/>
      <c r="Y72" s="21"/>
      <c r="Z72" s="21"/>
      <c r="AA72" s="22"/>
      <c r="AB72" s="23"/>
      <c r="AC72" s="10"/>
      <c r="AD72" s="124"/>
    </row>
    <row r="73" spans="1:30" ht="28.5" customHeight="1">
      <c r="A73" s="5"/>
      <c r="B73" s="197"/>
      <c r="C73" s="54"/>
      <c r="D73" s="2"/>
      <c r="E73" s="19"/>
      <c r="F73" s="10"/>
      <c r="G73" s="14"/>
      <c r="H73" s="14"/>
      <c r="I73" s="64"/>
      <c r="J73" s="72"/>
      <c r="K73" s="4"/>
      <c r="L73" s="14"/>
      <c r="M73" s="14"/>
      <c r="N73" s="14"/>
      <c r="O73" s="32"/>
      <c r="P73" s="89"/>
      <c r="Q73" s="76"/>
      <c r="R73" s="2"/>
      <c r="S73" s="97"/>
      <c r="T73" s="50"/>
      <c r="U73" s="142"/>
      <c r="V73" s="69"/>
      <c r="W73" s="74"/>
      <c r="X73" s="20"/>
      <c r="Y73" s="21"/>
      <c r="Z73" s="21"/>
      <c r="AA73" s="22"/>
      <c r="AB73" s="23"/>
      <c r="AC73" s="10"/>
    </row>
    <row r="74" spans="1:30" ht="35.450000000000003" customHeight="1">
      <c r="A74" s="5"/>
      <c r="B74" s="197"/>
      <c r="C74" s="54"/>
      <c r="D74" s="2"/>
      <c r="E74" s="19"/>
      <c r="F74" s="10"/>
      <c r="G74" s="14"/>
      <c r="H74" s="14"/>
      <c r="I74" s="64"/>
      <c r="J74" s="72"/>
      <c r="K74" s="4"/>
      <c r="L74" s="14"/>
      <c r="M74" s="14"/>
      <c r="N74" s="14"/>
      <c r="O74" s="32"/>
      <c r="P74" s="89"/>
      <c r="Q74" s="76"/>
      <c r="R74" s="2"/>
      <c r="S74" s="97"/>
      <c r="T74" s="50"/>
      <c r="U74" s="142"/>
      <c r="V74" s="69"/>
      <c r="W74" s="74"/>
      <c r="X74" s="201"/>
      <c r="Y74" s="21"/>
      <c r="Z74" s="21"/>
      <c r="AA74" s="22"/>
      <c r="AB74" s="23"/>
      <c r="AC74" s="10"/>
    </row>
    <row r="75" spans="1:30" ht="28.5" customHeight="1">
      <c r="A75" s="5"/>
      <c r="B75" s="197"/>
      <c r="C75" s="54"/>
      <c r="D75" s="2"/>
      <c r="E75" s="19"/>
      <c r="F75" s="10"/>
      <c r="G75" s="14"/>
      <c r="H75" s="14"/>
      <c r="I75" s="64"/>
      <c r="J75" s="72"/>
      <c r="K75" s="4"/>
      <c r="L75" s="14"/>
      <c r="M75" s="14"/>
      <c r="N75" s="14"/>
      <c r="O75" s="32"/>
      <c r="P75" s="89"/>
      <c r="Q75" s="76"/>
      <c r="R75" s="2"/>
      <c r="S75" s="97"/>
      <c r="T75" s="50"/>
      <c r="U75" s="142"/>
      <c r="V75" s="69"/>
      <c r="W75" s="74"/>
      <c r="X75" s="20"/>
      <c r="Y75" s="21"/>
      <c r="Z75" s="21"/>
      <c r="AA75" s="22"/>
      <c r="AB75" s="23"/>
      <c r="AC75" s="10"/>
    </row>
    <row r="76" spans="1:30" ht="39" customHeight="1">
      <c r="A76" s="5"/>
      <c r="B76" s="195"/>
      <c r="C76" s="51"/>
      <c r="D76" s="2"/>
      <c r="E76" s="19"/>
      <c r="F76" s="2"/>
      <c r="G76" s="14"/>
      <c r="H76" s="14"/>
      <c r="I76" s="64"/>
      <c r="J76" s="72"/>
      <c r="K76" s="4"/>
      <c r="L76" s="14"/>
      <c r="M76" s="14"/>
      <c r="N76" s="14"/>
      <c r="O76" s="32"/>
      <c r="P76" s="89"/>
      <c r="Q76" s="76"/>
      <c r="R76" s="2"/>
      <c r="S76" s="97"/>
      <c r="T76" s="50"/>
      <c r="U76" s="142"/>
      <c r="V76" s="69"/>
      <c r="W76" s="74"/>
      <c r="X76" s="20"/>
      <c r="Y76" s="21"/>
      <c r="Z76" s="21"/>
      <c r="AA76" s="22"/>
      <c r="AB76" s="23"/>
      <c r="AC76" s="10"/>
    </row>
    <row r="77" spans="1:30" ht="37.5" customHeight="1">
      <c r="A77" s="5"/>
      <c r="B77" s="197"/>
      <c r="C77" s="54"/>
      <c r="D77" s="2"/>
      <c r="E77" s="19"/>
      <c r="F77" s="10"/>
      <c r="G77" s="14"/>
      <c r="H77" s="14"/>
      <c r="I77" s="64"/>
      <c r="J77" s="72"/>
      <c r="K77" s="4"/>
      <c r="L77" s="14"/>
      <c r="M77" s="14"/>
      <c r="N77" s="14"/>
      <c r="O77" s="32"/>
      <c r="P77" s="89"/>
      <c r="Q77" s="76"/>
      <c r="R77" s="18"/>
      <c r="S77" s="97"/>
      <c r="T77" s="50"/>
      <c r="U77" s="142"/>
      <c r="V77" s="69"/>
      <c r="W77" s="74"/>
      <c r="X77" s="201"/>
      <c r="Y77" s="21"/>
      <c r="Z77" s="21"/>
      <c r="AA77" s="22"/>
      <c r="AB77" s="23"/>
      <c r="AC77" s="10"/>
    </row>
    <row r="78" spans="1:30" ht="28.5" customHeight="1">
      <c r="A78" s="5"/>
      <c r="B78" s="195"/>
      <c r="C78" s="51"/>
      <c r="D78" s="2"/>
      <c r="E78" s="19"/>
      <c r="F78" s="2"/>
      <c r="G78" s="14"/>
      <c r="H78" s="14"/>
      <c r="I78" s="64"/>
      <c r="J78" s="72"/>
      <c r="K78" s="4"/>
      <c r="L78" s="14"/>
      <c r="M78" s="14"/>
      <c r="N78" s="14"/>
      <c r="O78" s="32"/>
      <c r="P78" s="89"/>
      <c r="Q78" s="76"/>
      <c r="R78" s="18"/>
      <c r="S78" s="97"/>
      <c r="T78" s="50"/>
      <c r="U78" s="142"/>
      <c r="V78" s="69"/>
      <c r="W78" s="74"/>
      <c r="X78" s="201"/>
      <c r="Y78" s="21"/>
      <c r="Z78" s="21"/>
      <c r="AA78" s="22"/>
      <c r="AB78" s="23"/>
      <c r="AC78" s="10"/>
    </row>
    <row r="79" spans="1:30" ht="46.5" customHeight="1">
      <c r="A79" s="5"/>
      <c r="B79" s="197"/>
      <c r="C79" s="54"/>
      <c r="D79" s="2"/>
      <c r="E79" s="19"/>
      <c r="F79" s="10"/>
      <c r="G79" s="14"/>
      <c r="H79" s="14"/>
      <c r="I79" s="64"/>
      <c r="J79" s="72"/>
      <c r="K79" s="4"/>
      <c r="L79" s="14"/>
      <c r="M79" s="14"/>
      <c r="N79" s="14"/>
      <c r="O79" s="32"/>
      <c r="P79" s="89"/>
      <c r="Q79" s="76"/>
      <c r="R79" s="18"/>
      <c r="S79" s="97"/>
      <c r="T79" s="50"/>
      <c r="U79" s="142"/>
      <c r="V79" s="69"/>
      <c r="W79" s="74"/>
      <c r="X79" s="201"/>
      <c r="Y79" s="21"/>
      <c r="Z79" s="21"/>
      <c r="AA79" s="22"/>
      <c r="AB79" s="23"/>
      <c r="AC79" s="10"/>
    </row>
    <row r="80" spans="1:30" ht="46.5" customHeight="1">
      <c r="A80" s="5"/>
      <c r="B80" s="195"/>
      <c r="C80" s="51"/>
      <c r="D80" s="18"/>
      <c r="E80" s="19"/>
      <c r="F80" s="2"/>
      <c r="G80" s="14"/>
      <c r="H80" s="14"/>
      <c r="I80" s="64"/>
      <c r="J80" s="72"/>
      <c r="K80" s="4"/>
      <c r="L80" s="14"/>
      <c r="M80" s="14"/>
      <c r="N80" s="14"/>
      <c r="O80" s="32"/>
      <c r="P80" s="89"/>
      <c r="Q80" s="76"/>
      <c r="R80" s="18"/>
      <c r="S80" s="97"/>
      <c r="T80" s="50"/>
      <c r="U80" s="142"/>
      <c r="V80" s="69"/>
      <c r="W80" s="74"/>
      <c r="X80" s="20"/>
      <c r="Y80" s="21"/>
      <c r="Z80" s="21"/>
      <c r="AA80" s="22"/>
      <c r="AB80" s="23"/>
      <c r="AC80" s="10"/>
    </row>
    <row r="81" spans="1:30" ht="28.5" customHeight="1">
      <c r="A81" s="5"/>
      <c r="B81" s="197"/>
      <c r="C81" s="54"/>
      <c r="D81" s="2"/>
      <c r="E81" s="19"/>
      <c r="F81" s="10"/>
      <c r="G81" s="14"/>
      <c r="H81" s="14"/>
      <c r="I81" s="64"/>
      <c r="J81" s="72"/>
      <c r="K81" s="4"/>
      <c r="L81" s="14"/>
      <c r="M81" s="14"/>
      <c r="N81" s="14"/>
      <c r="O81" s="32"/>
      <c r="P81" s="89"/>
      <c r="Q81" s="76"/>
      <c r="R81" s="18"/>
      <c r="S81" s="97"/>
      <c r="T81" s="50"/>
      <c r="U81" s="142"/>
      <c r="V81" s="69"/>
      <c r="W81" s="74"/>
      <c r="X81" s="20"/>
      <c r="Y81" s="21"/>
      <c r="Z81" s="21"/>
      <c r="AA81" s="22"/>
      <c r="AB81" s="23"/>
      <c r="AC81" s="10"/>
    </row>
    <row r="82" spans="1:30" ht="28.5" customHeight="1">
      <c r="A82" s="5"/>
      <c r="B82" s="197"/>
      <c r="C82" s="54"/>
      <c r="D82" s="2"/>
      <c r="E82" s="19"/>
      <c r="F82" s="10"/>
      <c r="G82" s="14"/>
      <c r="H82" s="14"/>
      <c r="I82" s="64"/>
      <c r="J82" s="72"/>
      <c r="K82" s="4"/>
      <c r="L82" s="14"/>
      <c r="M82" s="14"/>
      <c r="N82" s="14"/>
      <c r="O82" s="32"/>
      <c r="P82" s="89"/>
      <c r="Q82" s="76"/>
      <c r="R82" s="18"/>
      <c r="S82" s="97"/>
      <c r="T82" s="50"/>
      <c r="U82" s="142"/>
      <c r="V82" s="69"/>
      <c r="W82" s="74"/>
      <c r="X82" s="20"/>
      <c r="Y82" s="21"/>
      <c r="Z82" s="21"/>
      <c r="AA82" s="22"/>
      <c r="AB82" s="23"/>
      <c r="AC82" s="10"/>
    </row>
    <row r="83" spans="1:30" ht="28.5" customHeight="1">
      <c r="A83" s="5"/>
      <c r="B83" s="197"/>
      <c r="C83" s="54"/>
      <c r="D83" s="2"/>
      <c r="E83" s="19"/>
      <c r="F83" s="10"/>
      <c r="G83" s="14"/>
      <c r="H83" s="14"/>
      <c r="I83" s="64"/>
      <c r="J83" s="72"/>
      <c r="K83" s="4"/>
      <c r="L83" s="14"/>
      <c r="M83" s="14"/>
      <c r="N83" s="14"/>
      <c r="O83" s="32"/>
      <c r="P83" s="89"/>
      <c r="Q83" s="76"/>
      <c r="R83" s="18"/>
      <c r="S83" s="97"/>
      <c r="T83" s="50"/>
      <c r="U83" s="142"/>
      <c r="V83" s="69"/>
      <c r="W83" s="74"/>
      <c r="X83" s="20"/>
      <c r="Y83" s="21"/>
      <c r="Z83" s="21"/>
      <c r="AA83" s="22"/>
      <c r="AB83" s="23"/>
      <c r="AC83" s="10"/>
    </row>
    <row r="84" spans="1:30" ht="28.5" customHeight="1">
      <c r="A84" s="5"/>
      <c r="B84" s="197"/>
      <c r="C84" s="54"/>
      <c r="D84" s="2"/>
      <c r="E84" s="19"/>
      <c r="F84" s="10"/>
      <c r="G84" s="14"/>
      <c r="H84" s="14"/>
      <c r="I84" s="64"/>
      <c r="J84" s="72"/>
      <c r="K84" s="4"/>
      <c r="L84" s="14"/>
      <c r="M84" s="14"/>
      <c r="N84" s="14"/>
      <c r="O84" s="32"/>
      <c r="P84" s="89"/>
      <c r="Q84" s="76"/>
      <c r="R84" s="18"/>
      <c r="S84" s="97"/>
      <c r="T84" s="50"/>
      <c r="U84" s="142"/>
      <c r="V84" s="69"/>
      <c r="W84" s="74"/>
      <c r="X84" s="20"/>
      <c r="Y84" s="21"/>
      <c r="Z84" s="21"/>
      <c r="AA84" s="22"/>
      <c r="AB84" s="23"/>
      <c r="AC84" s="10"/>
    </row>
    <row r="85" spans="1:30" ht="28.5" customHeight="1">
      <c r="A85" s="5"/>
      <c r="B85" s="195"/>
      <c r="C85" s="51"/>
      <c r="D85" s="2"/>
      <c r="E85" s="19"/>
      <c r="F85" s="10"/>
      <c r="G85" s="14"/>
      <c r="H85" s="14"/>
      <c r="I85" s="64"/>
      <c r="J85" s="72"/>
      <c r="K85" s="4"/>
      <c r="L85" s="14"/>
      <c r="M85" s="14"/>
      <c r="N85" s="14"/>
      <c r="O85" s="32"/>
      <c r="P85" s="89"/>
      <c r="Q85" s="76"/>
      <c r="R85" s="18"/>
      <c r="S85" s="97"/>
      <c r="T85" s="50"/>
      <c r="U85" s="142"/>
      <c r="V85" s="69"/>
      <c r="W85" s="74"/>
      <c r="X85" s="201"/>
      <c r="Y85" s="21"/>
      <c r="Z85" s="21"/>
      <c r="AA85" s="22"/>
      <c r="AB85" s="23"/>
      <c r="AC85" s="10"/>
    </row>
    <row r="86" spans="1:30" ht="28.5" customHeight="1">
      <c r="A86" s="5"/>
      <c r="B86" s="195"/>
      <c r="C86" s="51"/>
      <c r="D86" s="2"/>
      <c r="E86" s="19"/>
      <c r="F86" s="10"/>
      <c r="G86" s="14"/>
      <c r="H86" s="14"/>
      <c r="I86" s="64"/>
      <c r="J86" s="72"/>
      <c r="K86" s="4"/>
      <c r="L86" s="14"/>
      <c r="M86" s="14"/>
      <c r="N86" s="14"/>
      <c r="O86" s="32"/>
      <c r="P86" s="89"/>
      <c r="Q86" s="76"/>
      <c r="R86" s="18"/>
      <c r="S86" s="97"/>
      <c r="T86" s="50"/>
      <c r="U86" s="142"/>
      <c r="V86" s="69"/>
      <c r="W86" s="74"/>
      <c r="X86" s="20"/>
      <c r="Y86" s="21"/>
      <c r="Z86" s="21"/>
      <c r="AA86" s="22"/>
      <c r="AB86" s="23"/>
      <c r="AC86" s="10"/>
    </row>
    <row r="87" spans="1:30" ht="35.450000000000003" customHeight="1">
      <c r="A87" s="5"/>
      <c r="B87" s="195"/>
      <c r="C87" s="51"/>
      <c r="D87" s="2"/>
      <c r="E87" s="19"/>
      <c r="F87" s="10"/>
      <c r="G87" s="14"/>
      <c r="H87" s="14"/>
      <c r="I87" s="64"/>
      <c r="J87" s="72"/>
      <c r="K87" s="4"/>
      <c r="L87" s="14"/>
      <c r="M87" s="14"/>
      <c r="N87" s="14"/>
      <c r="O87" s="32"/>
      <c r="P87" s="89"/>
      <c r="Q87" s="76"/>
      <c r="R87" s="18"/>
      <c r="S87" s="97"/>
      <c r="T87" s="50"/>
      <c r="U87" s="142"/>
      <c r="V87" s="69"/>
      <c r="W87" s="74"/>
      <c r="X87" s="20"/>
      <c r="Y87" s="21"/>
      <c r="Z87" s="21"/>
      <c r="AA87" s="22"/>
      <c r="AB87" s="23"/>
      <c r="AC87" s="10"/>
    </row>
    <row r="88" spans="1:30" ht="28.5" customHeight="1">
      <c r="A88" s="5"/>
      <c r="B88" s="195"/>
      <c r="C88" s="51"/>
      <c r="D88" s="2"/>
      <c r="E88" s="19"/>
      <c r="F88" s="10"/>
      <c r="G88" s="14"/>
      <c r="H88" s="14"/>
      <c r="I88" s="64"/>
      <c r="J88" s="72"/>
      <c r="K88" s="4"/>
      <c r="L88" s="14"/>
      <c r="M88" s="14"/>
      <c r="N88" s="14"/>
      <c r="O88" s="32"/>
      <c r="P88" s="89"/>
      <c r="Q88" s="76"/>
      <c r="R88" s="18"/>
      <c r="S88" s="97"/>
      <c r="T88" s="50"/>
      <c r="U88" s="142"/>
      <c r="V88" s="69"/>
      <c r="W88" s="74"/>
      <c r="X88" s="20"/>
      <c r="Y88" s="21"/>
      <c r="Z88" s="21"/>
      <c r="AA88" s="22"/>
      <c r="AB88" s="23"/>
      <c r="AC88" s="10"/>
    </row>
    <row r="89" spans="1:30" ht="28.5" customHeight="1">
      <c r="A89" s="5"/>
      <c r="B89" s="195"/>
      <c r="C89" s="51"/>
      <c r="D89" s="2"/>
      <c r="E89" s="19"/>
      <c r="F89" s="10"/>
      <c r="G89" s="14"/>
      <c r="H89" s="14"/>
      <c r="I89" s="64"/>
      <c r="J89" s="72"/>
      <c r="K89" s="4"/>
      <c r="L89" s="14"/>
      <c r="M89" s="14"/>
      <c r="N89" s="14"/>
      <c r="O89" s="32"/>
      <c r="P89" s="89"/>
      <c r="Q89" s="76"/>
      <c r="R89" s="18"/>
      <c r="S89" s="97"/>
      <c r="T89" s="50"/>
      <c r="U89" s="142"/>
      <c r="V89" s="69"/>
      <c r="W89" s="74"/>
      <c r="X89" s="20"/>
      <c r="Y89" s="21"/>
      <c r="Z89" s="21"/>
      <c r="AA89" s="22"/>
      <c r="AB89" s="23"/>
      <c r="AC89" s="10"/>
    </row>
    <row r="90" spans="1:30" ht="43.5" customHeight="1">
      <c r="A90" s="5"/>
      <c r="B90" s="195"/>
      <c r="C90" s="51"/>
      <c r="D90" s="2"/>
      <c r="E90" s="19"/>
      <c r="F90" s="2"/>
      <c r="G90" s="14"/>
      <c r="H90" s="14"/>
      <c r="I90" s="64"/>
      <c r="J90" s="72"/>
      <c r="K90" s="4"/>
      <c r="L90" s="14"/>
      <c r="M90" s="14"/>
      <c r="N90" s="14"/>
      <c r="O90" s="32"/>
      <c r="P90" s="89"/>
      <c r="Q90" s="76"/>
      <c r="R90" s="18"/>
      <c r="S90" s="97"/>
      <c r="T90" s="50"/>
      <c r="U90" s="142"/>
      <c r="V90" s="69"/>
      <c r="W90" s="74"/>
      <c r="X90" s="20"/>
      <c r="Y90" s="21"/>
      <c r="Z90" s="21"/>
      <c r="AA90" s="22"/>
      <c r="AB90" s="23"/>
      <c r="AC90" s="10"/>
    </row>
    <row r="91" spans="1:30" ht="42" customHeight="1">
      <c r="A91" s="5"/>
      <c r="B91" s="195"/>
      <c r="C91" s="51"/>
      <c r="D91" s="2"/>
      <c r="E91" s="19"/>
      <c r="F91" s="10"/>
      <c r="G91" s="14"/>
      <c r="H91" s="14"/>
      <c r="I91" s="64"/>
      <c r="J91" s="72"/>
      <c r="K91" s="4"/>
      <c r="L91" s="14"/>
      <c r="M91" s="14"/>
      <c r="N91" s="14"/>
      <c r="O91" s="32"/>
      <c r="P91" s="89"/>
      <c r="Q91" s="76"/>
      <c r="R91" s="18"/>
      <c r="S91" s="97"/>
      <c r="T91" s="50"/>
      <c r="U91" s="142"/>
      <c r="V91" s="69"/>
      <c r="W91" s="74"/>
      <c r="X91" s="20"/>
      <c r="Y91" s="21"/>
      <c r="Z91" s="21"/>
      <c r="AA91" s="22"/>
      <c r="AB91" s="23"/>
      <c r="AC91" s="10"/>
    </row>
    <row r="92" spans="1:30" ht="28.5" customHeight="1">
      <c r="A92" s="5"/>
      <c r="B92" s="195"/>
      <c r="C92" s="51"/>
      <c r="D92" s="2"/>
      <c r="E92" s="19"/>
      <c r="F92" s="2"/>
      <c r="G92" s="14"/>
      <c r="H92" s="14"/>
      <c r="I92" s="64"/>
      <c r="J92" s="72"/>
      <c r="K92" s="4"/>
      <c r="L92" s="14"/>
      <c r="M92" s="14"/>
      <c r="N92" s="14"/>
      <c r="O92" s="32"/>
      <c r="P92" s="89"/>
      <c r="Q92" s="76"/>
      <c r="R92" s="18"/>
      <c r="S92" s="97"/>
      <c r="T92" s="50"/>
      <c r="U92" s="142"/>
      <c r="V92" s="69"/>
      <c r="W92" s="74"/>
      <c r="X92" s="20"/>
      <c r="Y92" s="21"/>
      <c r="Z92" s="21"/>
      <c r="AA92" s="22"/>
      <c r="AB92" s="23"/>
      <c r="AC92" s="10"/>
    </row>
    <row r="93" spans="1:30" ht="42" customHeight="1">
      <c r="A93" s="5"/>
      <c r="B93" s="197"/>
      <c r="C93" s="54"/>
      <c r="D93" s="2"/>
      <c r="E93" s="19"/>
      <c r="F93" s="10"/>
      <c r="G93" s="14"/>
      <c r="H93" s="14"/>
      <c r="I93" s="64"/>
      <c r="J93" s="72"/>
      <c r="K93" s="4"/>
      <c r="L93" s="14"/>
      <c r="M93" s="14"/>
      <c r="N93" s="14"/>
      <c r="O93" s="32"/>
      <c r="P93" s="89"/>
      <c r="Q93" s="59"/>
      <c r="R93" s="2"/>
      <c r="S93" s="97"/>
      <c r="T93" s="51"/>
      <c r="U93" s="142"/>
      <c r="V93" s="69"/>
      <c r="W93" s="74"/>
      <c r="X93" s="20"/>
      <c r="Y93" s="21"/>
      <c r="Z93" s="37"/>
      <c r="AA93" s="22"/>
      <c r="AB93" s="23"/>
      <c r="AC93" s="10"/>
    </row>
    <row r="94" spans="1:30" ht="48" customHeight="1">
      <c r="A94" s="5"/>
      <c r="B94" s="197"/>
      <c r="C94" s="54"/>
      <c r="D94" s="2"/>
      <c r="E94" s="19"/>
      <c r="F94" s="10"/>
      <c r="G94" s="14"/>
      <c r="H94" s="14"/>
      <c r="I94" s="64"/>
      <c r="J94" s="72"/>
      <c r="K94" s="4"/>
      <c r="L94" s="14"/>
      <c r="M94" s="14"/>
      <c r="N94" s="14"/>
      <c r="O94" s="32"/>
      <c r="P94" s="89"/>
      <c r="Q94" s="59"/>
      <c r="R94" s="2"/>
      <c r="S94" s="97"/>
      <c r="T94" s="50"/>
      <c r="U94" s="142"/>
      <c r="V94" s="69"/>
      <c r="W94" s="74"/>
      <c r="X94" s="20"/>
      <c r="Y94" s="21"/>
      <c r="Z94" s="21"/>
      <c r="AA94" s="22"/>
      <c r="AB94" s="23"/>
      <c r="AC94" s="10"/>
    </row>
    <row r="95" spans="1:30" ht="47.25" customHeight="1">
      <c r="A95" s="5"/>
      <c r="B95" s="195"/>
      <c r="C95" s="51"/>
      <c r="D95" s="2"/>
      <c r="E95" s="19"/>
      <c r="F95" s="10"/>
      <c r="G95" s="14"/>
      <c r="H95" s="14"/>
      <c r="I95" s="64"/>
      <c r="J95" s="72"/>
      <c r="K95" s="4"/>
      <c r="L95" s="14"/>
      <c r="M95" s="14"/>
      <c r="N95" s="14"/>
      <c r="O95" s="32"/>
      <c r="P95" s="89"/>
      <c r="Q95" s="59"/>
      <c r="R95" s="18"/>
      <c r="S95" s="97"/>
      <c r="T95" s="50"/>
      <c r="U95" s="142"/>
      <c r="V95" s="69"/>
      <c r="W95" s="74"/>
      <c r="X95" s="20"/>
      <c r="Y95" s="21"/>
      <c r="Z95" s="21"/>
      <c r="AA95" s="22"/>
      <c r="AB95" s="23"/>
      <c r="AC95" s="10"/>
    </row>
    <row r="96" spans="1:30" ht="97.5" customHeight="1">
      <c r="A96" s="5"/>
      <c r="B96" s="195"/>
      <c r="C96" s="51"/>
      <c r="D96" s="2"/>
      <c r="E96" s="19"/>
      <c r="F96" s="10"/>
      <c r="G96" s="14"/>
      <c r="H96" s="14"/>
      <c r="I96" s="64"/>
      <c r="J96" s="72"/>
      <c r="K96" s="4"/>
      <c r="L96" s="14"/>
      <c r="M96" s="14"/>
      <c r="N96" s="14"/>
      <c r="O96" s="32"/>
      <c r="P96" s="89"/>
      <c r="Q96" s="59"/>
      <c r="R96" s="18"/>
      <c r="S96" s="19"/>
      <c r="T96" s="50"/>
      <c r="U96" s="149"/>
      <c r="V96" s="69"/>
      <c r="W96" s="74"/>
      <c r="X96" s="20"/>
      <c r="Y96" s="21"/>
      <c r="Z96" s="21"/>
      <c r="AA96" s="21"/>
      <c r="AB96" s="164"/>
      <c r="AC96" s="10"/>
      <c r="AD96" s="137"/>
    </row>
    <row r="97" spans="1:30" ht="56.25" customHeight="1">
      <c r="A97" s="5"/>
      <c r="B97" s="195"/>
      <c r="C97" s="51"/>
      <c r="D97" s="2"/>
      <c r="E97" s="19"/>
      <c r="F97" s="10"/>
      <c r="G97" s="14"/>
      <c r="H97" s="14"/>
      <c r="I97" s="64"/>
      <c r="J97" s="72"/>
      <c r="K97" s="4"/>
      <c r="L97" s="14"/>
      <c r="M97" s="14"/>
      <c r="N97" s="14"/>
      <c r="O97" s="32"/>
      <c r="P97" s="89"/>
      <c r="Q97" s="59"/>
      <c r="R97" s="3"/>
      <c r="S97" s="3"/>
      <c r="T97" s="7"/>
      <c r="U97" s="181"/>
      <c r="V97" s="182"/>
      <c r="W97" s="182"/>
      <c r="X97" s="183"/>
      <c r="Y97" s="21"/>
      <c r="Z97" s="21"/>
      <c r="AA97" s="21"/>
      <c r="AB97" s="164"/>
      <c r="AC97" s="10"/>
      <c r="AD97" s="123"/>
    </row>
    <row r="98" spans="1:30" ht="97.5" customHeight="1">
      <c r="A98" s="5"/>
      <c r="B98" s="195"/>
      <c r="C98" s="51"/>
      <c r="D98" s="2"/>
      <c r="E98" s="19"/>
      <c r="F98" s="10"/>
      <c r="G98" s="14"/>
      <c r="H98" s="14"/>
      <c r="I98" s="64"/>
      <c r="J98" s="72"/>
      <c r="K98" s="4"/>
      <c r="L98" s="14"/>
      <c r="M98" s="14"/>
      <c r="N98" s="14"/>
      <c r="O98" s="32"/>
      <c r="P98" s="89"/>
      <c r="Q98" s="59"/>
      <c r="R98" s="3"/>
      <c r="S98" s="3"/>
      <c r="T98" s="7"/>
      <c r="U98" s="184"/>
      <c r="V98" s="182"/>
      <c r="W98" s="182"/>
      <c r="X98" s="183"/>
      <c r="Y98" s="21"/>
      <c r="Z98" s="21"/>
      <c r="AA98" s="21"/>
      <c r="AB98" s="164"/>
      <c r="AC98" s="10"/>
      <c r="AD98" s="139"/>
    </row>
    <row r="99" spans="1:30" ht="56.25" customHeight="1">
      <c r="A99" s="5"/>
      <c r="B99" s="195"/>
      <c r="C99" s="51"/>
      <c r="D99" s="2"/>
      <c r="E99" s="19"/>
      <c r="F99" s="10"/>
      <c r="G99" s="14"/>
      <c r="H99" s="14"/>
      <c r="I99" s="64"/>
      <c r="J99" s="72"/>
      <c r="K99" s="4"/>
      <c r="L99" s="14"/>
      <c r="M99" s="14"/>
      <c r="N99" s="14"/>
      <c r="O99" s="32"/>
      <c r="P99" s="89"/>
      <c r="Q99" s="59"/>
      <c r="R99" s="7"/>
      <c r="S99" s="7"/>
      <c r="T99" s="182"/>
      <c r="U99" s="185"/>
      <c r="V99" s="182"/>
      <c r="W99" s="182"/>
      <c r="X99" s="183"/>
      <c r="Y99" s="21"/>
      <c r="Z99" s="21"/>
      <c r="AA99" s="21"/>
      <c r="AB99" s="164"/>
      <c r="AC99" s="10"/>
      <c r="AD99" s="123"/>
    </row>
    <row r="100" spans="1:30" ht="56.25" customHeight="1">
      <c r="A100" s="5"/>
      <c r="B100" s="195"/>
      <c r="C100" s="51"/>
      <c r="D100" s="2"/>
      <c r="E100" s="19"/>
      <c r="F100" s="10"/>
      <c r="G100" s="14"/>
      <c r="H100" s="14"/>
      <c r="I100" s="64"/>
      <c r="J100" s="72"/>
      <c r="K100" s="4"/>
      <c r="L100" s="14"/>
      <c r="M100" s="14"/>
      <c r="N100" s="14"/>
      <c r="O100" s="32"/>
      <c r="P100" s="89"/>
      <c r="Q100" s="59"/>
      <c r="R100" s="3"/>
      <c r="S100" s="3"/>
      <c r="T100" s="7"/>
      <c r="U100" s="184"/>
      <c r="V100" s="182"/>
      <c r="W100" s="182"/>
      <c r="X100" s="182"/>
      <c r="Y100" s="21"/>
      <c r="Z100" s="21"/>
      <c r="AA100" s="21"/>
      <c r="AB100" s="164"/>
      <c r="AC100" s="10"/>
      <c r="AD100" s="123"/>
    </row>
    <row r="101" spans="1:30" ht="56.25" customHeight="1">
      <c r="A101" s="5"/>
      <c r="B101" s="195"/>
      <c r="C101" s="51"/>
      <c r="D101" s="2"/>
      <c r="E101" s="19"/>
      <c r="F101" s="10"/>
      <c r="G101" s="14"/>
      <c r="H101" s="14"/>
      <c r="I101" s="64"/>
      <c r="J101" s="72"/>
      <c r="K101" s="4"/>
      <c r="L101" s="14"/>
      <c r="M101" s="14"/>
      <c r="N101" s="14"/>
      <c r="O101" s="32"/>
      <c r="P101" s="89"/>
      <c r="Q101" s="59"/>
      <c r="R101" s="3"/>
      <c r="S101" s="3"/>
      <c r="T101" s="7"/>
      <c r="U101" s="184"/>
      <c r="V101" s="182"/>
      <c r="W101" s="182"/>
      <c r="X101" s="182"/>
      <c r="Y101" s="21"/>
      <c r="Z101" s="21"/>
      <c r="AA101" s="21"/>
      <c r="AB101" s="164"/>
      <c r="AC101" s="10"/>
      <c r="AD101" s="123"/>
    </row>
    <row r="102" spans="1:30" ht="32.25" customHeight="1">
      <c r="A102" s="5"/>
      <c r="B102" s="195"/>
      <c r="C102" s="51"/>
      <c r="D102" s="2"/>
      <c r="E102" s="19"/>
      <c r="F102" s="10"/>
      <c r="G102" s="14"/>
      <c r="H102" s="14"/>
      <c r="I102" s="64"/>
      <c r="J102" s="72"/>
      <c r="K102" s="4"/>
      <c r="L102" s="14"/>
      <c r="M102" s="14"/>
      <c r="N102" s="14"/>
      <c r="O102" s="32"/>
      <c r="P102" s="89"/>
      <c r="Q102" s="59"/>
      <c r="R102" s="3"/>
      <c r="S102" s="3"/>
      <c r="T102" s="7"/>
      <c r="U102" s="184"/>
      <c r="V102" s="182"/>
      <c r="W102" s="182"/>
      <c r="X102" s="182"/>
      <c r="Y102" s="21"/>
      <c r="Z102" s="21"/>
      <c r="AA102" s="21"/>
      <c r="AB102" s="164"/>
      <c r="AC102" s="10"/>
      <c r="AD102" s="123"/>
    </row>
    <row r="103" spans="1:30" ht="56.25" customHeight="1">
      <c r="A103" s="5"/>
      <c r="B103" s="195"/>
      <c r="C103" s="51"/>
      <c r="D103" s="2"/>
      <c r="E103" s="19"/>
      <c r="F103" s="10"/>
      <c r="G103" s="14"/>
      <c r="H103" s="14"/>
      <c r="I103" s="64"/>
      <c r="J103" s="72"/>
      <c r="K103" s="4"/>
      <c r="L103" s="14"/>
      <c r="M103" s="14"/>
      <c r="N103" s="14"/>
      <c r="O103" s="32"/>
      <c r="P103" s="89"/>
      <c r="Q103" s="59"/>
      <c r="R103" s="3"/>
      <c r="S103" s="3"/>
      <c r="T103" s="7"/>
      <c r="U103" s="184"/>
      <c r="V103" s="186"/>
      <c r="W103" s="182"/>
      <c r="X103" s="182"/>
      <c r="Y103" s="21"/>
      <c r="Z103" s="21"/>
      <c r="AA103" s="21"/>
      <c r="AB103" s="164"/>
      <c r="AC103" s="10"/>
      <c r="AD103" s="123"/>
    </row>
    <row r="104" spans="1:30" ht="56.25" customHeight="1">
      <c r="A104" s="5"/>
      <c r="B104" s="195"/>
      <c r="C104" s="51"/>
      <c r="D104" s="2"/>
      <c r="E104" s="19"/>
      <c r="F104" s="10"/>
      <c r="G104" s="14"/>
      <c r="H104" s="14"/>
      <c r="I104" s="64"/>
      <c r="J104" s="72"/>
      <c r="K104" s="4"/>
      <c r="L104" s="14"/>
      <c r="M104" s="14"/>
      <c r="N104" s="14"/>
      <c r="O104" s="32"/>
      <c r="P104" s="94"/>
      <c r="Q104" s="59"/>
      <c r="R104" s="3"/>
      <c r="S104" s="3"/>
      <c r="T104" s="3"/>
      <c r="U104" s="184"/>
      <c r="V104" s="182"/>
      <c r="W104" s="182"/>
      <c r="X104" s="187"/>
      <c r="Y104" s="10"/>
      <c r="Z104" s="21"/>
      <c r="AA104" s="10"/>
      <c r="AB104" s="49"/>
      <c r="AC104" s="10"/>
    </row>
    <row r="105" spans="1:30" ht="56.25" customHeight="1">
      <c r="A105" s="5"/>
      <c r="B105" s="195"/>
      <c r="C105" s="51"/>
      <c r="D105" s="2"/>
      <c r="E105" s="19"/>
      <c r="F105" s="10"/>
      <c r="G105" s="14"/>
      <c r="H105" s="14"/>
      <c r="I105" s="64"/>
      <c r="J105" s="72"/>
      <c r="K105" s="4"/>
      <c r="L105" s="14"/>
      <c r="M105" s="14"/>
      <c r="N105" s="14"/>
      <c r="O105" s="32"/>
      <c r="P105" s="94"/>
      <c r="Q105" s="59"/>
      <c r="R105" s="3"/>
      <c r="S105" s="3"/>
      <c r="T105" s="7"/>
      <c r="U105" s="184"/>
      <c r="V105" s="186"/>
      <c r="W105" s="182"/>
      <c r="X105" s="188"/>
      <c r="Y105" s="168"/>
      <c r="Z105" s="168"/>
      <c r="AA105" s="168"/>
      <c r="AB105" s="168"/>
      <c r="AC105" s="168"/>
    </row>
    <row r="106" spans="1:30" ht="56.25" customHeight="1">
      <c r="A106" s="5"/>
      <c r="B106" s="195"/>
      <c r="C106" s="51"/>
      <c r="D106" s="2"/>
      <c r="E106" s="19"/>
      <c r="F106" s="10"/>
      <c r="G106" s="14"/>
      <c r="H106" s="14"/>
      <c r="I106" s="64"/>
      <c r="J106" s="72"/>
      <c r="K106" s="4"/>
      <c r="L106" s="14"/>
      <c r="M106" s="14"/>
      <c r="N106" s="14"/>
      <c r="O106" s="32"/>
      <c r="P106" s="94"/>
      <c r="Q106" s="59"/>
      <c r="R106" s="189"/>
      <c r="S106" s="3"/>
      <c r="T106" s="7"/>
      <c r="U106" s="190"/>
      <c r="V106" s="191"/>
      <c r="W106" s="182"/>
      <c r="X106" s="188"/>
      <c r="Y106" s="168"/>
      <c r="Z106" s="168"/>
      <c r="AA106" s="168"/>
      <c r="AB106" s="168"/>
      <c r="AC106" s="168"/>
    </row>
    <row r="107" spans="1:30" ht="28.5" customHeight="1">
      <c r="A107" s="5">
        <v>95</v>
      </c>
      <c r="B107" s="197"/>
      <c r="C107" s="54"/>
      <c r="D107" s="2"/>
      <c r="E107" s="19"/>
      <c r="F107" s="10"/>
      <c r="G107" s="14"/>
      <c r="H107" s="14"/>
      <c r="I107" s="64"/>
      <c r="J107" s="72"/>
      <c r="K107" s="4"/>
      <c r="L107" s="14"/>
      <c r="M107" s="14"/>
      <c r="N107" s="14"/>
      <c r="O107" s="32"/>
      <c r="P107" s="89"/>
      <c r="Q107" s="59"/>
      <c r="R107" s="40"/>
      <c r="S107" s="41"/>
      <c r="T107" s="156" t="s">
        <v>488</v>
      </c>
      <c r="U107" s="173"/>
      <c r="V107" s="157"/>
      <c r="W107" s="74"/>
      <c r="X107" s="158"/>
      <c r="Y107" s="21"/>
      <c r="Z107" s="21"/>
      <c r="AA107" s="22"/>
      <c r="AB107" s="23"/>
      <c r="AC107" s="10"/>
    </row>
    <row r="108" spans="1:30" ht="28.5" customHeight="1">
      <c r="A108" s="5"/>
      <c r="B108" s="197"/>
      <c r="C108" s="54"/>
      <c r="D108" s="2"/>
      <c r="E108" s="19"/>
      <c r="F108" s="10"/>
      <c r="G108" s="14"/>
      <c r="H108" s="14"/>
      <c r="I108" s="64"/>
      <c r="J108" s="72"/>
      <c r="K108" s="4"/>
      <c r="L108" s="14"/>
      <c r="M108" s="14"/>
      <c r="N108" s="14"/>
      <c r="O108" s="32"/>
      <c r="P108" s="89"/>
      <c r="Q108" s="59"/>
      <c r="R108" s="40"/>
      <c r="S108" s="41"/>
      <c r="T108" s="156" t="s">
        <v>489</v>
      </c>
      <c r="U108" s="173"/>
      <c r="V108" s="174"/>
      <c r="W108" s="74"/>
      <c r="X108" s="20"/>
      <c r="Y108" s="21"/>
      <c r="Z108" s="21"/>
      <c r="AA108" s="22"/>
      <c r="AB108" s="23"/>
      <c r="AC108" s="10"/>
    </row>
    <row r="109" spans="1:30" ht="28.5" customHeight="1">
      <c r="A109" s="5">
        <v>96</v>
      </c>
      <c r="B109" s="195"/>
      <c r="C109" s="51"/>
      <c r="D109" s="2"/>
      <c r="E109" s="19"/>
      <c r="F109" s="10"/>
      <c r="G109" s="14"/>
      <c r="H109" s="14"/>
      <c r="I109" s="64"/>
      <c r="J109" s="72"/>
      <c r="K109" s="4"/>
      <c r="L109" s="14"/>
      <c r="M109" s="14"/>
      <c r="N109" s="14"/>
      <c r="O109" s="32"/>
      <c r="P109" s="89"/>
      <c r="Q109" s="60"/>
      <c r="R109" s="43"/>
      <c r="S109" s="44"/>
      <c r="T109" s="52" t="s">
        <v>390</v>
      </c>
      <c r="U109" s="149"/>
      <c r="V109" s="69"/>
      <c r="W109" s="74"/>
      <c r="X109" s="20"/>
      <c r="Y109" s="21"/>
      <c r="Z109" s="21"/>
      <c r="AA109" s="22"/>
      <c r="AB109" s="23"/>
      <c r="AC109" s="10"/>
    </row>
    <row r="110" spans="1:30" ht="28.5" customHeight="1">
      <c r="A110" s="5">
        <v>97</v>
      </c>
      <c r="B110" s="197"/>
      <c r="C110" s="54"/>
      <c r="D110" s="2"/>
      <c r="E110" s="19"/>
      <c r="F110" s="10"/>
      <c r="G110" s="14"/>
      <c r="H110" s="14"/>
      <c r="I110" s="64"/>
      <c r="J110" s="72"/>
      <c r="K110" s="4"/>
      <c r="L110" s="14"/>
      <c r="M110" s="14"/>
      <c r="N110" s="14"/>
      <c r="O110" s="32"/>
      <c r="P110" s="89"/>
      <c r="Q110" s="60"/>
      <c r="R110" s="43"/>
      <c r="S110" s="45"/>
      <c r="T110" s="53" t="s">
        <v>393</v>
      </c>
      <c r="U110" s="149"/>
      <c r="V110" s="69"/>
      <c r="W110" s="74"/>
      <c r="X110" s="20"/>
      <c r="Y110" s="21"/>
      <c r="Z110" s="21"/>
      <c r="AA110" s="46"/>
      <c r="AB110" s="23"/>
      <c r="AC110" s="10"/>
    </row>
    <row r="111" spans="1:30" ht="28.5" customHeight="1">
      <c r="A111" s="5">
        <v>98</v>
      </c>
      <c r="B111" s="197"/>
      <c r="C111" s="54"/>
      <c r="D111" s="2"/>
      <c r="E111" s="19"/>
      <c r="F111" s="10"/>
      <c r="G111" s="14"/>
      <c r="H111" s="14"/>
      <c r="I111" s="64"/>
      <c r="J111" s="72"/>
      <c r="K111" s="4"/>
      <c r="L111" s="14"/>
      <c r="M111" s="14"/>
      <c r="N111" s="14"/>
      <c r="O111" s="32"/>
      <c r="P111" s="89"/>
      <c r="Q111" s="60"/>
      <c r="R111" s="43"/>
      <c r="S111" s="44"/>
      <c r="T111" s="52" t="s">
        <v>397</v>
      </c>
      <c r="U111" s="149"/>
      <c r="V111" s="69"/>
      <c r="W111" s="74"/>
      <c r="X111" s="20"/>
      <c r="Y111" s="21"/>
      <c r="Z111" s="21"/>
      <c r="AA111" s="46"/>
      <c r="AB111" s="47"/>
      <c r="AC111" s="10"/>
    </row>
    <row r="112" spans="1:30" ht="28.5" customHeight="1">
      <c r="A112" s="5">
        <v>99</v>
      </c>
      <c r="B112" s="197"/>
      <c r="C112" s="54"/>
      <c r="D112" s="2"/>
      <c r="E112" s="19"/>
      <c r="F112" s="10"/>
      <c r="G112" s="14"/>
      <c r="H112" s="14"/>
      <c r="I112" s="64"/>
      <c r="J112" s="72"/>
      <c r="K112" s="4"/>
      <c r="L112" s="14"/>
      <c r="M112" s="14"/>
      <c r="N112" s="14"/>
      <c r="O112" s="32"/>
      <c r="P112" s="92"/>
      <c r="Q112" s="61"/>
      <c r="R112" s="43"/>
      <c r="S112" s="42"/>
      <c r="T112" s="52" t="s">
        <v>400</v>
      </c>
      <c r="U112" s="149"/>
      <c r="V112" s="69"/>
      <c r="W112" s="74"/>
      <c r="X112" s="20"/>
      <c r="Y112" s="21"/>
      <c r="Z112" s="21"/>
      <c r="AA112" s="22"/>
      <c r="AB112" s="23"/>
      <c r="AC112" s="2"/>
    </row>
    <row r="113" spans="1:29" ht="15.75">
      <c r="A113" s="5">
        <v>100</v>
      </c>
      <c r="B113" s="197"/>
      <c r="C113" s="54"/>
      <c r="D113" s="2"/>
      <c r="E113" s="19"/>
      <c r="F113" s="10"/>
      <c r="G113" s="14"/>
      <c r="H113" s="14"/>
      <c r="I113" s="64"/>
      <c r="J113" s="72"/>
      <c r="K113" s="4"/>
      <c r="L113" s="14"/>
      <c r="M113" s="14"/>
      <c r="N113" s="14"/>
      <c r="O113" s="32"/>
      <c r="P113" s="89"/>
      <c r="Q113" s="60"/>
      <c r="R113" s="43"/>
      <c r="S113" s="45"/>
      <c r="T113" s="53" t="s">
        <v>403</v>
      </c>
      <c r="U113" s="149"/>
      <c r="V113" s="69"/>
      <c r="W113" s="74"/>
      <c r="X113" s="176"/>
      <c r="Y113" s="21"/>
      <c r="Z113" s="21"/>
      <c r="AA113" s="22"/>
      <c r="AB113" s="23"/>
      <c r="AC113" s="10"/>
    </row>
    <row r="114" spans="1:29" ht="64.5" customHeight="1">
      <c r="A114" s="5">
        <v>101</v>
      </c>
      <c r="B114" s="195"/>
      <c r="C114" s="51"/>
      <c r="D114" s="2"/>
      <c r="E114" s="19"/>
      <c r="F114" s="10"/>
      <c r="G114" s="14"/>
      <c r="H114" s="14"/>
      <c r="I114" s="64"/>
      <c r="J114" s="72"/>
      <c r="K114" s="4"/>
      <c r="L114" s="14"/>
      <c r="M114" s="14"/>
      <c r="N114" s="14"/>
      <c r="O114" s="32"/>
      <c r="P114" s="89"/>
      <c r="Q114" s="60"/>
      <c r="R114" s="43"/>
      <c r="S114" s="45"/>
      <c r="T114" s="53" t="s">
        <v>406</v>
      </c>
      <c r="U114" s="149"/>
      <c r="V114" s="69"/>
      <c r="W114" s="74"/>
      <c r="X114" s="202"/>
      <c r="Y114" s="21"/>
      <c r="Z114" s="21"/>
      <c r="AA114" s="22"/>
      <c r="AB114" s="23"/>
      <c r="AC114" s="10"/>
    </row>
    <row r="115" spans="1:29" ht="28.5" customHeight="1">
      <c r="A115" s="5">
        <v>102</v>
      </c>
      <c r="B115" s="195"/>
      <c r="C115" s="51"/>
      <c r="D115" s="2"/>
      <c r="E115" s="19"/>
      <c r="F115" s="10"/>
      <c r="G115" s="14"/>
      <c r="H115" s="14"/>
      <c r="I115" s="64"/>
      <c r="J115" s="72"/>
      <c r="K115" s="4"/>
      <c r="L115" s="14"/>
      <c r="M115" s="14"/>
      <c r="N115" s="14"/>
      <c r="O115" s="32"/>
      <c r="P115" s="89"/>
      <c r="Q115" s="60"/>
      <c r="R115" s="43"/>
      <c r="S115" s="45"/>
      <c r="T115" s="53" t="s">
        <v>406</v>
      </c>
      <c r="U115" s="149"/>
      <c r="V115" s="69"/>
      <c r="W115" s="74"/>
      <c r="X115" s="20"/>
      <c r="Y115" s="21"/>
      <c r="Z115" s="21"/>
      <c r="AA115" s="22"/>
      <c r="AB115" s="23"/>
      <c r="AC115" s="10"/>
    </row>
    <row r="116" spans="1:29" ht="45" customHeight="1">
      <c r="A116" s="5">
        <v>103</v>
      </c>
      <c r="B116" s="195"/>
      <c r="C116" s="51"/>
      <c r="D116" s="2"/>
      <c r="E116" s="19"/>
      <c r="F116" s="10"/>
      <c r="G116" s="14"/>
      <c r="H116" s="14"/>
      <c r="I116" s="64"/>
      <c r="J116" s="72"/>
      <c r="K116" s="4"/>
      <c r="L116" s="14"/>
      <c r="M116" s="14"/>
      <c r="N116" s="14"/>
      <c r="O116" s="32"/>
      <c r="P116" s="89"/>
      <c r="Q116" s="60"/>
      <c r="R116" s="43"/>
      <c r="S116" s="45"/>
      <c r="T116" s="53" t="s">
        <v>411</v>
      </c>
      <c r="U116" s="149"/>
      <c r="V116" s="69"/>
      <c r="W116" s="74"/>
      <c r="X116" s="203"/>
      <c r="Y116" s="21"/>
      <c r="Z116" s="21"/>
      <c r="AA116" s="22"/>
      <c r="AB116" s="23"/>
      <c r="AC116" s="10"/>
    </row>
    <row r="117" spans="1:29" ht="28.5" customHeight="1">
      <c r="A117" s="5">
        <v>104</v>
      </c>
      <c r="B117" s="197"/>
      <c r="C117" s="54"/>
      <c r="D117" s="2"/>
      <c r="E117" s="19"/>
      <c r="F117" s="10"/>
      <c r="G117" s="14"/>
      <c r="H117" s="14"/>
      <c r="I117" s="64"/>
      <c r="J117" s="72"/>
      <c r="K117" s="4"/>
      <c r="L117" s="14"/>
      <c r="M117" s="14"/>
      <c r="N117" s="14"/>
      <c r="O117" s="32"/>
      <c r="P117" s="89"/>
      <c r="Q117" s="60"/>
      <c r="R117" s="43"/>
      <c r="S117" s="44"/>
      <c r="T117" s="52" t="s">
        <v>414</v>
      </c>
      <c r="U117" s="149"/>
      <c r="V117" s="69"/>
      <c r="W117" s="74"/>
      <c r="X117" s="20"/>
      <c r="Y117" s="21"/>
      <c r="Z117" s="21"/>
      <c r="AA117" s="22"/>
      <c r="AB117" s="23"/>
      <c r="AC117" s="10"/>
    </row>
    <row r="118" spans="1:29" ht="28.5" customHeight="1">
      <c r="A118" s="5">
        <v>105</v>
      </c>
      <c r="B118" s="195"/>
      <c r="C118" s="51"/>
      <c r="D118" s="2"/>
      <c r="E118" s="19"/>
      <c r="F118" s="2"/>
      <c r="G118" s="14"/>
      <c r="H118" s="14"/>
      <c r="I118" s="64"/>
      <c r="J118" s="72"/>
      <c r="K118" s="4"/>
      <c r="L118" s="14"/>
      <c r="M118" s="14"/>
      <c r="N118" s="14"/>
      <c r="O118" s="32"/>
      <c r="P118" s="89"/>
      <c r="Q118" s="60"/>
      <c r="R118" s="43"/>
      <c r="S118" s="45"/>
      <c r="T118" s="53" t="s">
        <v>416</v>
      </c>
      <c r="U118" s="149"/>
      <c r="V118" s="69"/>
      <c r="W118" s="75"/>
      <c r="X118" s="20"/>
      <c r="Y118" s="21"/>
      <c r="Z118" s="21"/>
      <c r="AA118" s="22"/>
      <c r="AB118" s="23"/>
      <c r="AC118" s="10"/>
    </row>
    <row r="119" spans="1:29" ht="28.5" customHeight="1">
      <c r="B119" s="194"/>
      <c r="C119" s="55"/>
      <c r="D119" s="10"/>
      <c r="E119" s="48"/>
      <c r="F119" s="10"/>
      <c r="G119" s="10"/>
      <c r="H119" s="10"/>
      <c r="I119" s="66"/>
      <c r="J119" s="72"/>
      <c r="K119" s="4"/>
      <c r="L119" s="10"/>
      <c r="M119" s="10"/>
      <c r="N119" s="10"/>
      <c r="O119" s="32"/>
      <c r="P119" s="94"/>
      <c r="Q119" s="316"/>
      <c r="R119" s="317"/>
      <c r="S119" s="317"/>
      <c r="T119" s="317"/>
      <c r="U119" s="317"/>
      <c r="V119" s="317"/>
      <c r="W119" s="317"/>
      <c r="X119" s="317"/>
      <c r="Y119" s="317"/>
      <c r="Z119" s="317"/>
      <c r="AA119" s="317"/>
      <c r="AB119" s="317"/>
    </row>
    <row r="120" spans="1:29" ht="24">
      <c r="B120" s="194"/>
      <c r="C120" s="55"/>
      <c r="D120" s="10"/>
      <c r="E120" s="48"/>
      <c r="F120" s="10"/>
      <c r="G120" s="10"/>
      <c r="H120" s="10"/>
      <c r="I120" s="66"/>
      <c r="J120" s="72"/>
      <c r="K120" s="4"/>
      <c r="L120" s="10"/>
      <c r="M120" s="10"/>
      <c r="N120" s="10"/>
      <c r="O120" s="32"/>
      <c r="P120" s="89"/>
      <c r="Q120" s="204"/>
      <c r="R120" s="18"/>
      <c r="S120" s="205"/>
      <c r="T120" s="163" t="s">
        <v>491</v>
      </c>
      <c r="U120" s="149"/>
      <c r="V120" s="20"/>
      <c r="W120" s="74"/>
      <c r="X120" s="176"/>
      <c r="Y120" s="21"/>
      <c r="Z120" s="21"/>
      <c r="AA120" s="22"/>
      <c r="AB120" s="23"/>
      <c r="AC120" s="10"/>
    </row>
    <row r="121" spans="1:29" ht="62.25" customHeight="1">
      <c r="B121" s="194"/>
      <c r="C121" s="55"/>
      <c r="D121" s="10"/>
      <c r="E121" s="48"/>
      <c r="F121" s="10"/>
      <c r="G121" s="10"/>
      <c r="H121" s="10"/>
      <c r="I121" s="66"/>
      <c r="J121" s="72"/>
      <c r="K121" s="4"/>
      <c r="L121" s="10"/>
      <c r="M121" s="10"/>
      <c r="N121" s="10"/>
      <c r="O121" s="32"/>
      <c r="P121" s="89"/>
      <c r="Q121" s="204"/>
      <c r="R121" s="18"/>
      <c r="S121" s="205"/>
      <c r="T121" s="163" t="s">
        <v>495</v>
      </c>
      <c r="U121" s="149"/>
      <c r="V121" s="157"/>
      <c r="W121" s="74"/>
      <c r="X121" s="176"/>
      <c r="Y121" s="21"/>
      <c r="Z121" s="21"/>
      <c r="AA121" s="22"/>
      <c r="AB121" s="23"/>
    </row>
    <row r="122" spans="1:29" ht="28.5" customHeight="1">
      <c r="B122" s="194"/>
      <c r="C122" s="55"/>
      <c r="D122" s="10"/>
      <c r="E122" s="48"/>
      <c r="F122" s="10"/>
      <c r="G122" s="10"/>
      <c r="H122" s="10"/>
      <c r="I122" s="66"/>
      <c r="J122" s="72"/>
      <c r="K122" s="4"/>
      <c r="L122" s="10"/>
      <c r="M122" s="10"/>
      <c r="N122" s="10"/>
      <c r="O122" s="32"/>
      <c r="P122" s="89"/>
      <c r="Q122" s="204"/>
      <c r="R122" s="18"/>
      <c r="S122" s="205"/>
      <c r="T122" s="163" t="s">
        <v>498</v>
      </c>
      <c r="U122" s="149"/>
      <c r="V122" s="157"/>
      <c r="W122" s="74"/>
      <c r="X122" s="20"/>
      <c r="Y122" s="206"/>
      <c r="Z122" s="206"/>
      <c r="AA122" s="166"/>
      <c r="AB122" s="167"/>
    </row>
    <row r="123" spans="1:29" ht="28.5" customHeight="1">
      <c r="B123" s="194"/>
      <c r="C123" s="55"/>
      <c r="D123" s="10"/>
      <c r="E123" s="48"/>
      <c r="F123" s="10"/>
      <c r="G123" s="10"/>
      <c r="H123" s="10"/>
      <c r="I123" s="66"/>
      <c r="J123" s="72"/>
      <c r="K123" s="4"/>
      <c r="L123" s="10"/>
      <c r="M123" s="10"/>
      <c r="N123" s="10"/>
      <c r="O123" s="32"/>
      <c r="P123" s="94"/>
      <c r="Q123" s="55"/>
      <c r="R123" s="10"/>
      <c r="S123" s="48"/>
      <c r="T123" s="10"/>
      <c r="U123" s="140"/>
      <c r="V123" s="68"/>
      <c r="W123" s="72">
        <f t="shared" ref="W123:W125" si="0">SUM(W10:W113)</f>
        <v>0</v>
      </c>
      <c r="X123" s="4"/>
      <c r="Y123" s="168"/>
      <c r="Z123" s="168"/>
      <c r="AA123" s="168"/>
      <c r="AB123" s="168"/>
      <c r="AC123" s="168"/>
    </row>
    <row r="124" spans="1:29" ht="28.5" customHeight="1">
      <c r="B124" s="194"/>
      <c r="C124" s="55"/>
      <c r="D124" s="10"/>
      <c r="E124" s="48"/>
      <c r="F124" s="10"/>
      <c r="G124" s="10"/>
      <c r="H124" s="10"/>
      <c r="I124" s="66"/>
      <c r="J124" s="72"/>
      <c r="K124" s="4"/>
      <c r="L124" s="10"/>
      <c r="M124" s="10"/>
      <c r="N124" s="10"/>
      <c r="O124" s="32"/>
      <c r="P124" s="94"/>
      <c r="Q124" s="55"/>
      <c r="R124" s="10"/>
      <c r="S124" s="48"/>
      <c r="T124" s="10"/>
      <c r="U124" s="140"/>
      <c r="V124" s="68"/>
      <c r="W124" s="72">
        <f t="shared" si="0"/>
        <v>0</v>
      </c>
      <c r="X124" s="4"/>
      <c r="Y124" s="168"/>
      <c r="Z124" s="168"/>
      <c r="AA124" s="168"/>
      <c r="AB124" s="168"/>
      <c r="AC124" s="168"/>
    </row>
    <row r="125" spans="1:29" ht="28.5" customHeight="1">
      <c r="B125" s="194"/>
      <c r="C125" s="55"/>
      <c r="D125" s="10"/>
      <c r="E125" s="48"/>
      <c r="F125" s="10"/>
      <c r="G125" s="10"/>
      <c r="H125" s="10"/>
      <c r="I125" s="66"/>
      <c r="J125" s="72"/>
      <c r="K125" s="4"/>
      <c r="L125" s="10"/>
      <c r="M125" s="10"/>
      <c r="N125" s="10"/>
      <c r="O125" s="32"/>
      <c r="P125" s="94"/>
      <c r="Q125" s="55"/>
      <c r="R125" s="10"/>
      <c r="S125" s="48"/>
      <c r="T125" s="10"/>
      <c r="U125" s="140"/>
      <c r="V125" s="68"/>
      <c r="W125" s="72">
        <f t="shared" si="0"/>
        <v>0</v>
      </c>
      <c r="X125" s="4"/>
      <c r="Y125" s="168"/>
      <c r="Z125" s="168"/>
      <c r="AA125" s="168"/>
      <c r="AB125" s="168"/>
      <c r="AC125" s="168"/>
    </row>
  </sheetData>
  <mergeCells count="1">
    <mergeCell ref="Q119:AB1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87B91-C0C2-4B26-9579-E26F68494FB6}">
  <sheetPr filterMode="1"/>
  <dimension ref="A1:AC622"/>
  <sheetViews>
    <sheetView tabSelected="1" zoomScale="85" zoomScaleNormal="85" workbookViewId="0">
      <pane ySplit="1" topLeftCell="A23" activePane="bottomLeft" state="frozen"/>
      <selection pane="bottomLeft" activeCell="A31" sqref="A31:XFD31"/>
    </sheetView>
  </sheetViews>
  <sheetFormatPr defaultRowHeight="42" customHeight="1"/>
  <cols>
    <col min="1" max="1" width="9.140625" customWidth="1"/>
    <col min="2" max="2" width="8" style="87" customWidth="1"/>
    <col min="3" max="3" width="9.28515625" style="56" customWidth="1"/>
    <col min="4" max="4" width="35" customWidth="1"/>
    <col min="5" max="5" width="9.7109375" customWidth="1"/>
    <col min="6" max="6" width="52.7109375" bestFit="1" customWidth="1"/>
    <col min="7" max="7" width="8.140625" customWidth="1"/>
    <col min="8" max="8" width="7.42578125" customWidth="1"/>
    <col min="9" max="9" width="12.5703125" style="67" customWidth="1"/>
    <col min="10" max="10" width="9.7109375" style="56" customWidth="1"/>
    <col min="11" max="11" width="11.28515625" customWidth="1"/>
    <col min="12" max="12" width="6.85546875" customWidth="1"/>
    <col min="13" max="13" width="13.7109375" bestFit="1" customWidth="1"/>
    <col min="14" max="14" width="14.85546875" customWidth="1"/>
    <col min="15" max="15" width="25.28515625" bestFit="1" customWidth="1"/>
    <col min="16" max="16" width="8.140625" customWidth="1"/>
    <col min="17" max="17" width="9.28515625" style="56" customWidth="1"/>
    <col min="18" max="18" width="37" customWidth="1"/>
    <col min="19" max="19" width="15.7109375" customWidth="1"/>
    <col min="20" max="20" width="30.7109375" customWidth="1"/>
    <col min="21" max="21" width="9.140625" style="151" customWidth="1"/>
    <col min="22" max="22" width="9" style="67" customWidth="1"/>
    <col min="23" max="23" width="13.85546875" style="56" customWidth="1"/>
    <col min="24" max="25" width="13.7109375" customWidth="1"/>
    <col min="26" max="26" width="15.28515625" bestFit="1" customWidth="1"/>
    <col min="27" max="27" width="11.85546875" bestFit="1" customWidth="1"/>
    <col min="28" max="28" width="23" customWidth="1"/>
    <col min="29" max="29" width="13.7109375" customWidth="1"/>
  </cols>
  <sheetData>
    <row r="1" spans="1:29" ht="42" customHeight="1">
      <c r="B1" s="81" t="s">
        <v>0</v>
      </c>
      <c r="C1" s="57"/>
      <c r="D1" s="2" t="s">
        <v>1</v>
      </c>
      <c r="E1" s="3" t="s">
        <v>2</v>
      </c>
      <c r="F1" s="2" t="s">
        <v>3</v>
      </c>
      <c r="G1" s="2"/>
      <c r="H1" s="2" t="s">
        <v>429</v>
      </c>
      <c r="I1" s="62" t="s">
        <v>426</v>
      </c>
      <c r="J1" s="72" t="s">
        <v>4</v>
      </c>
      <c r="K1" s="2" t="s">
        <v>5</v>
      </c>
      <c r="L1" s="5" t="s">
        <v>6</v>
      </c>
      <c r="M1" s="2" t="s">
        <v>7</v>
      </c>
      <c r="N1" s="2" t="s">
        <v>8</v>
      </c>
      <c r="O1" s="6" t="s">
        <v>9</v>
      </c>
      <c r="P1" s="88" t="s">
        <v>0</v>
      </c>
      <c r="Q1" s="57"/>
      <c r="R1" s="2" t="s">
        <v>1</v>
      </c>
      <c r="S1" s="7" t="s">
        <v>2</v>
      </c>
      <c r="T1" s="2" t="s">
        <v>3</v>
      </c>
      <c r="U1" s="140"/>
      <c r="V1" s="68"/>
      <c r="W1" s="72" t="s">
        <v>10</v>
      </c>
      <c r="X1" s="2" t="s">
        <v>5</v>
      </c>
      <c r="Y1" s="5" t="s">
        <v>6</v>
      </c>
      <c r="Z1" s="8" t="s">
        <v>7</v>
      </c>
      <c r="AA1" s="8" t="s">
        <v>8</v>
      </c>
      <c r="AB1" s="9" t="s">
        <v>9</v>
      </c>
      <c r="AC1" s="10"/>
    </row>
    <row r="2" spans="1:29" ht="42" customHeight="1">
      <c r="B2" s="82"/>
      <c r="C2" s="58"/>
      <c r="D2" s="12" t="s">
        <v>11</v>
      </c>
      <c r="E2" s="11"/>
      <c r="F2" s="11"/>
      <c r="G2" s="11"/>
      <c r="H2" s="11"/>
      <c r="I2" s="63"/>
      <c r="J2" s="58"/>
      <c r="K2" s="11"/>
      <c r="L2" s="11"/>
      <c r="M2" s="11"/>
      <c r="N2" s="11"/>
      <c r="O2" s="13"/>
      <c r="P2" s="88"/>
      <c r="Q2" s="58"/>
      <c r="R2" s="11" t="s">
        <v>12</v>
      </c>
      <c r="S2" s="11"/>
      <c r="T2" s="11"/>
      <c r="U2" s="141"/>
      <c r="V2" s="63"/>
      <c r="W2" s="58"/>
      <c r="X2" s="11"/>
      <c r="Y2" s="11"/>
      <c r="Z2" s="11"/>
      <c r="AA2" s="11"/>
      <c r="AB2" s="13"/>
      <c r="AC2" s="10"/>
    </row>
    <row r="3" spans="1:29" ht="42" customHeight="1">
      <c r="A3">
        <v>1</v>
      </c>
      <c r="B3" s="238">
        <v>35.430900000000001</v>
      </c>
      <c r="C3" s="217" t="s">
        <v>89</v>
      </c>
      <c r="D3" s="207" t="s">
        <v>527</v>
      </c>
      <c r="E3" s="209">
        <v>4000</v>
      </c>
      <c r="F3" s="210" t="s">
        <v>528</v>
      </c>
      <c r="G3" s="218"/>
      <c r="H3" s="219"/>
      <c r="I3" s="243"/>
      <c r="J3" s="277">
        <f>E3*H3</f>
        <v>0</v>
      </c>
      <c r="K3" s="228"/>
      <c r="L3" s="208">
        <v>11438</v>
      </c>
      <c r="M3" s="208" t="s">
        <v>529</v>
      </c>
      <c r="N3" s="215">
        <v>29415090</v>
      </c>
      <c r="O3" s="216">
        <v>913970321383892</v>
      </c>
      <c r="P3" s="239">
        <v>258</v>
      </c>
      <c r="Q3" s="217" t="s">
        <v>13</v>
      </c>
      <c r="R3" s="211" t="s">
        <v>530</v>
      </c>
      <c r="S3" s="209">
        <v>4000</v>
      </c>
      <c r="T3" s="210" t="s">
        <v>257</v>
      </c>
      <c r="U3" s="221">
        <v>0</v>
      </c>
      <c r="V3" s="240"/>
      <c r="W3" s="226">
        <f>S3*U3</f>
        <v>0</v>
      </c>
      <c r="X3" s="233"/>
      <c r="Y3" s="212">
        <v>12606</v>
      </c>
      <c r="Z3" s="212" t="s">
        <v>531</v>
      </c>
      <c r="AA3" s="213">
        <v>29415090</v>
      </c>
      <c r="AB3" s="214">
        <v>913970321383892</v>
      </c>
      <c r="AC3" s="24" t="e">
        <f>W3/J3</f>
        <v>#DIV/0!</v>
      </c>
    </row>
    <row r="4" spans="1:29" ht="42" customHeight="1">
      <c r="B4" s="238">
        <v>12.85</v>
      </c>
      <c r="C4" s="217" t="s">
        <v>13</v>
      </c>
      <c r="D4" s="207" t="s">
        <v>532</v>
      </c>
      <c r="E4" s="209">
        <v>48000</v>
      </c>
      <c r="F4" s="210" t="s">
        <v>534</v>
      </c>
      <c r="G4" s="218">
        <v>0</v>
      </c>
      <c r="H4" s="219" t="e">
        <f>VLOOKUP(L:L,#REF!,2,FALSE)</f>
        <v>#REF!</v>
      </c>
      <c r="I4" s="243"/>
      <c r="J4" s="277" t="e">
        <f t="shared" ref="J4:J49" si="0">E4*H4</f>
        <v>#REF!</v>
      </c>
      <c r="K4" s="229"/>
      <c r="L4" s="208">
        <v>12403</v>
      </c>
      <c r="M4" s="208" t="s">
        <v>533</v>
      </c>
      <c r="N4" s="215">
        <v>28334000</v>
      </c>
      <c r="O4" s="216">
        <v>913961111456257</v>
      </c>
      <c r="P4" s="157"/>
      <c r="Q4" s="51"/>
      <c r="R4" s="18"/>
      <c r="S4" s="19"/>
      <c r="T4" s="50"/>
      <c r="U4" s="149">
        <v>0</v>
      </c>
      <c r="V4" s="69"/>
      <c r="W4" s="74">
        <f t="shared" ref="W4:W66" si="1">S4*U4</f>
        <v>0</v>
      </c>
      <c r="X4" s="20"/>
      <c r="Y4" s="21"/>
      <c r="Z4" s="21"/>
      <c r="AA4" s="21"/>
      <c r="AB4" s="164"/>
      <c r="AC4" s="28">
        <v>0</v>
      </c>
    </row>
    <row r="5" spans="1:29" ht="42" customHeight="1">
      <c r="A5">
        <v>2</v>
      </c>
      <c r="B5" s="175"/>
      <c r="C5" s="51"/>
      <c r="D5" s="2"/>
      <c r="E5" s="19"/>
      <c r="F5" s="50"/>
      <c r="G5" s="8">
        <v>0</v>
      </c>
      <c r="H5" s="200" t="e">
        <f>VLOOKUP(L:L,#REF!,2,FALSE)</f>
        <v>#REF!</v>
      </c>
      <c r="I5" s="64"/>
      <c r="J5" s="72" t="e">
        <f t="shared" si="0"/>
        <v>#REF!</v>
      </c>
      <c r="K5" s="199"/>
      <c r="L5" s="14"/>
      <c r="M5" s="14"/>
      <c r="N5" s="32"/>
      <c r="O5" s="32"/>
      <c r="P5" s="239">
        <v>336</v>
      </c>
      <c r="Q5" s="217" t="s">
        <v>13</v>
      </c>
      <c r="R5" s="211" t="s">
        <v>535</v>
      </c>
      <c r="S5" s="209">
        <v>5000</v>
      </c>
      <c r="T5" s="210" t="s">
        <v>536</v>
      </c>
      <c r="U5" s="221">
        <v>0</v>
      </c>
      <c r="V5" s="240"/>
      <c r="W5" s="226">
        <f t="shared" si="1"/>
        <v>0</v>
      </c>
      <c r="X5" s="233"/>
      <c r="Y5" s="212">
        <v>12612</v>
      </c>
      <c r="Z5" s="212" t="s">
        <v>537</v>
      </c>
      <c r="AA5" s="213">
        <v>29411090</v>
      </c>
      <c r="AB5" s="214">
        <v>914020323985644</v>
      </c>
      <c r="AC5" s="24" t="e">
        <f>W5/J5</f>
        <v>#REF!</v>
      </c>
    </row>
    <row r="6" spans="1:29" ht="42" customHeight="1">
      <c r="A6">
        <v>3</v>
      </c>
      <c r="B6" s="175"/>
      <c r="C6" s="51"/>
      <c r="D6" s="2"/>
      <c r="E6" s="19"/>
      <c r="F6" s="50"/>
      <c r="G6" s="8">
        <v>0</v>
      </c>
      <c r="H6" s="200">
        <v>0</v>
      </c>
      <c r="I6" s="64"/>
      <c r="J6" s="72">
        <f t="shared" si="0"/>
        <v>0</v>
      </c>
      <c r="K6" s="4"/>
      <c r="L6" s="14"/>
      <c r="M6" s="14"/>
      <c r="N6" s="32"/>
      <c r="O6" s="32"/>
      <c r="P6" s="239">
        <v>351.48</v>
      </c>
      <c r="Q6" s="217" t="s">
        <v>13</v>
      </c>
      <c r="R6" s="211" t="s">
        <v>539</v>
      </c>
      <c r="S6" s="209">
        <v>1000</v>
      </c>
      <c r="T6" s="210" t="s">
        <v>540</v>
      </c>
      <c r="U6" s="221">
        <v>0</v>
      </c>
      <c r="V6" s="240"/>
      <c r="W6" s="226">
        <f t="shared" si="1"/>
        <v>0</v>
      </c>
      <c r="X6" s="233"/>
      <c r="Y6" s="212">
        <v>12332</v>
      </c>
      <c r="Z6" s="212" t="s">
        <v>538</v>
      </c>
      <c r="AA6" s="213">
        <v>29419090</v>
      </c>
      <c r="AB6" s="214">
        <v>914000711166237</v>
      </c>
      <c r="AC6" s="24" t="e">
        <f>W6/J6</f>
        <v>#DIV/0!</v>
      </c>
    </row>
    <row r="7" spans="1:29" ht="42" customHeight="1">
      <c r="A7">
        <v>4</v>
      </c>
      <c r="B7" s="238">
        <v>198</v>
      </c>
      <c r="C7" s="217" t="s">
        <v>13</v>
      </c>
      <c r="D7" s="207" t="s">
        <v>543</v>
      </c>
      <c r="E7" s="209">
        <v>10000</v>
      </c>
      <c r="F7" s="210" t="s">
        <v>544</v>
      </c>
      <c r="G7" s="220">
        <v>0</v>
      </c>
      <c r="H7" s="219" t="e">
        <f>VLOOKUP(L:L,#REF!,2,FALSE)</f>
        <v>#REF!</v>
      </c>
      <c r="I7" s="243"/>
      <c r="J7" s="277"/>
      <c r="K7" s="229"/>
      <c r="L7" s="208">
        <v>12604</v>
      </c>
      <c r="M7" s="208" t="s">
        <v>545</v>
      </c>
      <c r="N7" s="216">
        <v>29414000</v>
      </c>
      <c r="O7" s="216">
        <v>913950907375439</v>
      </c>
      <c r="P7" s="239">
        <v>196</v>
      </c>
      <c r="Q7" s="217" t="s">
        <v>13</v>
      </c>
      <c r="R7" s="211" t="s">
        <v>548</v>
      </c>
      <c r="S7" s="209">
        <v>10000</v>
      </c>
      <c r="T7" s="210" t="s">
        <v>547</v>
      </c>
      <c r="U7" s="221">
        <v>0</v>
      </c>
      <c r="V7" s="240"/>
      <c r="W7" s="226"/>
      <c r="X7" s="226"/>
      <c r="Y7" s="212">
        <v>12609</v>
      </c>
      <c r="Z7" s="212" t="s">
        <v>546</v>
      </c>
      <c r="AA7" s="213">
        <v>29414000</v>
      </c>
      <c r="AB7" s="214">
        <v>914020431346706</v>
      </c>
      <c r="AC7" s="28"/>
    </row>
    <row r="8" spans="1:29" ht="42" customHeight="1">
      <c r="A8">
        <v>5</v>
      </c>
      <c r="B8" s="175"/>
      <c r="C8" s="51"/>
      <c r="D8" s="2"/>
      <c r="E8" s="19"/>
      <c r="F8" s="50"/>
      <c r="G8" s="8">
        <v>0</v>
      </c>
      <c r="H8" s="200" t="e">
        <f>VLOOKUP(L:L,#REF!,2,FALSE)</f>
        <v>#REF!</v>
      </c>
      <c r="I8" s="64"/>
      <c r="J8" s="72" t="e">
        <f t="shared" si="0"/>
        <v>#REF!</v>
      </c>
      <c r="K8" s="4"/>
      <c r="L8" s="14"/>
      <c r="M8" s="14"/>
      <c r="N8" s="32"/>
      <c r="O8" s="32"/>
      <c r="P8" s="239">
        <v>160</v>
      </c>
      <c r="Q8" s="217" t="s">
        <v>553</v>
      </c>
      <c r="R8" s="207" t="s">
        <v>549</v>
      </c>
      <c r="S8" s="209">
        <v>100</v>
      </c>
      <c r="T8" s="210" t="s">
        <v>550</v>
      </c>
      <c r="U8" s="221">
        <v>0</v>
      </c>
      <c r="V8" s="240"/>
      <c r="W8" s="226">
        <f t="shared" si="1"/>
        <v>0</v>
      </c>
      <c r="X8" s="234"/>
      <c r="Y8" s="212">
        <v>12448</v>
      </c>
      <c r="Z8" s="212" t="s">
        <v>552</v>
      </c>
      <c r="AA8" s="213">
        <v>29419090</v>
      </c>
      <c r="AB8" s="214">
        <v>914010428726918</v>
      </c>
      <c r="AC8" s="24" t="e">
        <f>W8/J8/2</f>
        <v>#REF!</v>
      </c>
    </row>
    <row r="9" spans="1:29" ht="42" customHeight="1">
      <c r="A9">
        <v>6</v>
      </c>
      <c r="B9" s="238"/>
      <c r="C9" s="217"/>
      <c r="D9" s="207" t="s">
        <v>554</v>
      </c>
      <c r="E9" s="209">
        <v>8</v>
      </c>
      <c r="F9" s="210" t="s">
        <v>555</v>
      </c>
      <c r="G9" s="218">
        <v>0</v>
      </c>
      <c r="H9" s="219" t="e">
        <f>VLOOKUP(L:L,#REF!,2,FALSE)</f>
        <v>#REF!</v>
      </c>
      <c r="I9" s="243"/>
      <c r="J9" s="277" t="e">
        <f t="shared" si="0"/>
        <v>#REF!</v>
      </c>
      <c r="K9" s="229"/>
      <c r="L9" s="208"/>
      <c r="M9" s="208"/>
      <c r="N9" s="215">
        <v>29362600</v>
      </c>
      <c r="O9" s="216">
        <v>914021027369970</v>
      </c>
      <c r="P9" s="239">
        <v>12370</v>
      </c>
      <c r="Q9" s="217" t="s">
        <v>551</v>
      </c>
      <c r="R9" s="211" t="s">
        <v>554</v>
      </c>
      <c r="S9" s="209">
        <v>8</v>
      </c>
      <c r="T9" s="210" t="s">
        <v>555</v>
      </c>
      <c r="U9" s="221">
        <v>0</v>
      </c>
      <c r="V9" s="240"/>
      <c r="W9" s="226">
        <f t="shared" si="1"/>
        <v>0</v>
      </c>
      <c r="X9" s="233"/>
      <c r="Y9" s="212">
        <v>12437</v>
      </c>
      <c r="Z9" s="212" t="s">
        <v>556</v>
      </c>
      <c r="AA9" s="213">
        <v>29362600</v>
      </c>
      <c r="AB9" s="214">
        <v>914021027369970</v>
      </c>
      <c r="AC9" s="24" t="e">
        <f>W9/J9</f>
        <v>#REF!</v>
      </c>
    </row>
    <row r="10" spans="1:29" ht="42" customHeight="1">
      <c r="A10">
        <v>7</v>
      </c>
      <c r="B10" s="238">
        <v>86.5</v>
      </c>
      <c r="C10" s="217" t="s">
        <v>13</v>
      </c>
      <c r="D10" s="207" t="s">
        <v>558</v>
      </c>
      <c r="E10" s="209">
        <v>5000</v>
      </c>
      <c r="F10" s="210" t="s">
        <v>559</v>
      </c>
      <c r="G10" s="218">
        <v>0</v>
      </c>
      <c r="H10" s="219" t="e">
        <f>VLOOKUP(L:L,#REF!,2,FALSE)</f>
        <v>#REF!</v>
      </c>
      <c r="I10" s="243"/>
      <c r="J10" s="277" t="e">
        <f t="shared" si="0"/>
        <v>#REF!</v>
      </c>
      <c r="K10" s="229"/>
      <c r="L10" s="208">
        <v>12695</v>
      </c>
      <c r="M10" s="208" t="s">
        <v>557</v>
      </c>
      <c r="N10" s="215">
        <v>29413000</v>
      </c>
      <c r="O10" s="216">
        <v>913951218324523</v>
      </c>
      <c r="P10" s="239">
        <v>88</v>
      </c>
      <c r="Q10" s="217" t="s">
        <v>13</v>
      </c>
      <c r="R10" s="211" t="s">
        <v>202</v>
      </c>
      <c r="S10" s="209">
        <v>5000</v>
      </c>
      <c r="T10" s="210" t="s">
        <v>200</v>
      </c>
      <c r="U10" s="221">
        <v>0</v>
      </c>
      <c r="V10" s="240"/>
      <c r="W10" s="226">
        <f t="shared" si="1"/>
        <v>0</v>
      </c>
      <c r="X10" s="233"/>
      <c r="Y10" s="212">
        <v>12737</v>
      </c>
      <c r="Z10" s="212" t="s">
        <v>560</v>
      </c>
      <c r="AA10" s="213">
        <v>29413000</v>
      </c>
      <c r="AB10" s="214">
        <v>913951218324523</v>
      </c>
      <c r="AC10" s="24" t="e">
        <f>W10/J10</f>
        <v>#REF!</v>
      </c>
    </row>
    <row r="11" spans="1:29" ht="42" customHeight="1">
      <c r="A11">
        <v>8</v>
      </c>
      <c r="B11" s="238"/>
      <c r="C11" s="217"/>
      <c r="D11" s="211" t="s">
        <v>562</v>
      </c>
      <c r="E11" s="209">
        <v>10000</v>
      </c>
      <c r="F11" s="210" t="s">
        <v>563</v>
      </c>
      <c r="G11" s="218">
        <v>0</v>
      </c>
      <c r="H11" s="219" t="e">
        <f>VLOOKUP(L:L,#REF!,2,FALSE)</f>
        <v>#REF!</v>
      </c>
      <c r="I11" s="243"/>
      <c r="J11" s="277" t="e">
        <f t="shared" si="0"/>
        <v>#REF!</v>
      </c>
      <c r="K11" s="229"/>
      <c r="L11" s="208"/>
      <c r="M11" s="208"/>
      <c r="N11" s="215">
        <v>28363090</v>
      </c>
      <c r="O11" s="216">
        <v>914000711234925</v>
      </c>
      <c r="P11" s="239">
        <v>6.9</v>
      </c>
      <c r="Q11" s="217" t="s">
        <v>13</v>
      </c>
      <c r="R11" s="211" t="s">
        <v>562</v>
      </c>
      <c r="S11" s="209">
        <v>10000</v>
      </c>
      <c r="T11" s="210" t="s">
        <v>563</v>
      </c>
      <c r="U11" s="221">
        <v>0</v>
      </c>
      <c r="V11" s="240"/>
      <c r="W11" s="226">
        <f t="shared" si="1"/>
        <v>0</v>
      </c>
      <c r="X11" s="233"/>
      <c r="Y11" s="212">
        <v>12827</v>
      </c>
      <c r="Z11" s="212" t="s">
        <v>561</v>
      </c>
      <c r="AA11" s="213">
        <v>28363090</v>
      </c>
      <c r="AB11" s="214">
        <v>914000711234925</v>
      </c>
      <c r="AC11" s="24" t="e">
        <f>W11/J11</f>
        <v>#REF!</v>
      </c>
    </row>
    <row r="12" spans="1:29" ht="42" customHeight="1">
      <c r="A12">
        <v>9</v>
      </c>
      <c r="B12" s="238"/>
      <c r="C12" s="217"/>
      <c r="D12" s="207" t="s">
        <v>565</v>
      </c>
      <c r="E12" s="209">
        <v>2000</v>
      </c>
      <c r="F12" s="210" t="s">
        <v>566</v>
      </c>
      <c r="G12" s="218">
        <v>0</v>
      </c>
      <c r="H12" s="219" t="e">
        <f>VLOOKUP(L:L,#REF!,2,FALSE)</f>
        <v>#REF!</v>
      </c>
      <c r="I12" s="243"/>
      <c r="J12" s="277" t="e">
        <f t="shared" si="0"/>
        <v>#REF!</v>
      </c>
      <c r="K12" s="228"/>
      <c r="L12" s="208"/>
      <c r="M12" s="208"/>
      <c r="N12" s="215">
        <v>29362100</v>
      </c>
      <c r="O12" s="216">
        <v>913951113619349</v>
      </c>
      <c r="P12" s="239">
        <v>580</v>
      </c>
      <c r="Q12" s="217" t="s">
        <v>13</v>
      </c>
      <c r="R12" s="207" t="s">
        <v>565</v>
      </c>
      <c r="S12" s="209">
        <v>2000</v>
      </c>
      <c r="T12" s="210" t="s">
        <v>566</v>
      </c>
      <c r="U12" s="221">
        <v>0</v>
      </c>
      <c r="V12" s="240"/>
      <c r="W12" s="226">
        <f t="shared" si="1"/>
        <v>0</v>
      </c>
      <c r="X12" s="226"/>
      <c r="Y12" s="212">
        <v>12320</v>
      </c>
      <c r="Z12" s="212" t="s">
        <v>564</v>
      </c>
      <c r="AA12" s="213">
        <v>29362100</v>
      </c>
      <c r="AB12" s="214">
        <v>913951113619349</v>
      </c>
      <c r="AC12" s="24"/>
    </row>
    <row r="13" spans="1:29" ht="42" customHeight="1">
      <c r="A13">
        <v>10</v>
      </c>
      <c r="B13" s="238">
        <v>58</v>
      </c>
      <c r="C13" s="217" t="s">
        <v>13</v>
      </c>
      <c r="D13" s="207" t="s">
        <v>568</v>
      </c>
      <c r="E13" s="209">
        <v>15000</v>
      </c>
      <c r="F13" s="217" t="s">
        <v>205</v>
      </c>
      <c r="G13" s="218">
        <v>0</v>
      </c>
      <c r="H13" s="219" t="e">
        <f>VLOOKUP(L:L,#REF!,2,FALSE)</f>
        <v>#REF!</v>
      </c>
      <c r="I13" s="243"/>
      <c r="J13" s="277" t="e">
        <f t="shared" si="0"/>
        <v>#REF!</v>
      </c>
      <c r="K13" s="228"/>
      <c r="L13" s="208">
        <v>12666</v>
      </c>
      <c r="M13" s="208" t="s">
        <v>567</v>
      </c>
      <c r="N13" s="215">
        <v>29419090</v>
      </c>
      <c r="O13" s="216">
        <v>913980426291521</v>
      </c>
      <c r="P13" s="239">
        <v>60</v>
      </c>
      <c r="Q13" s="217" t="s">
        <v>13</v>
      </c>
      <c r="R13" s="207" t="s">
        <v>570</v>
      </c>
      <c r="S13" s="209">
        <v>15000</v>
      </c>
      <c r="T13" s="307" t="s">
        <v>95</v>
      </c>
      <c r="U13" s="221">
        <v>0</v>
      </c>
      <c r="V13" s="240"/>
      <c r="W13" s="226">
        <f t="shared" si="1"/>
        <v>0</v>
      </c>
      <c r="X13" s="233"/>
      <c r="Y13" s="212">
        <v>12714</v>
      </c>
      <c r="Z13" s="212" t="s">
        <v>569</v>
      </c>
      <c r="AA13" s="314">
        <v>29419090</v>
      </c>
      <c r="AB13" s="315">
        <v>913980426291521</v>
      </c>
      <c r="AC13" s="24" t="e">
        <f t="shared" ref="AC13:AC21" si="2">W13/J13</f>
        <v>#REF!</v>
      </c>
    </row>
    <row r="14" spans="1:29" ht="42" customHeight="1">
      <c r="A14">
        <v>11</v>
      </c>
      <c r="B14" s="238">
        <v>97.5</v>
      </c>
      <c r="C14" s="217" t="s">
        <v>13</v>
      </c>
      <c r="D14" s="207" t="s">
        <v>161</v>
      </c>
      <c r="E14" s="209">
        <v>10000</v>
      </c>
      <c r="F14" s="210" t="s">
        <v>572</v>
      </c>
      <c r="G14" s="218">
        <v>0</v>
      </c>
      <c r="H14" s="219" t="e">
        <f>VLOOKUP(L:L,#REF!,2,FALSE)</f>
        <v>#REF!</v>
      </c>
      <c r="I14" s="243"/>
      <c r="J14" s="277" t="e">
        <f t="shared" si="0"/>
        <v>#REF!</v>
      </c>
      <c r="K14" s="229"/>
      <c r="L14" s="208">
        <v>12689</v>
      </c>
      <c r="M14" s="208" t="s">
        <v>571</v>
      </c>
      <c r="N14" s="215">
        <v>29419090</v>
      </c>
      <c r="O14" s="216">
        <v>913970217768452</v>
      </c>
      <c r="P14" s="239">
        <v>99</v>
      </c>
      <c r="Q14" s="217" t="s">
        <v>13</v>
      </c>
      <c r="R14" s="211" t="s">
        <v>164</v>
      </c>
      <c r="S14" s="209">
        <v>10000</v>
      </c>
      <c r="T14" s="210" t="s">
        <v>573</v>
      </c>
      <c r="U14" s="221">
        <v>0</v>
      </c>
      <c r="V14" s="240"/>
      <c r="W14" s="226">
        <f t="shared" si="1"/>
        <v>0</v>
      </c>
      <c r="X14" s="233"/>
      <c r="Y14" s="212">
        <v>12730</v>
      </c>
      <c r="Z14" s="212" t="s">
        <v>574</v>
      </c>
      <c r="AA14" s="213">
        <v>29419090</v>
      </c>
      <c r="AB14" s="214">
        <v>913970217768452</v>
      </c>
      <c r="AC14" s="24" t="e">
        <f t="shared" si="2"/>
        <v>#REF!</v>
      </c>
    </row>
    <row r="15" spans="1:29" ht="38.25" hidden="1" customHeight="1">
      <c r="A15">
        <v>12</v>
      </c>
      <c r="B15" s="175"/>
      <c r="C15" s="51"/>
      <c r="D15" s="2"/>
      <c r="E15" s="19"/>
      <c r="F15" s="50"/>
      <c r="G15" s="8">
        <v>0</v>
      </c>
      <c r="H15" s="200" t="e">
        <f>VLOOKUP(L:L,#REF!,2,FALSE)</f>
        <v>#REF!</v>
      </c>
      <c r="I15" s="64"/>
      <c r="J15" s="72" t="e">
        <f t="shared" si="0"/>
        <v>#REF!</v>
      </c>
      <c r="K15" s="176"/>
      <c r="L15" s="14"/>
      <c r="M15" s="14"/>
      <c r="N15" s="215"/>
      <c r="O15" s="216"/>
      <c r="P15" s="259">
        <v>0.37</v>
      </c>
      <c r="Q15" s="217" t="s">
        <v>13</v>
      </c>
      <c r="R15" s="211" t="s">
        <v>576</v>
      </c>
      <c r="S15" s="209">
        <v>6000000</v>
      </c>
      <c r="T15" s="210" t="s">
        <v>317</v>
      </c>
      <c r="U15" s="221">
        <v>0</v>
      </c>
      <c r="V15" s="240"/>
      <c r="W15" s="226">
        <f t="shared" si="1"/>
        <v>0</v>
      </c>
      <c r="X15" s="233"/>
      <c r="Y15" s="212">
        <v>12451</v>
      </c>
      <c r="Z15" s="212" t="s">
        <v>575</v>
      </c>
      <c r="AA15" s="213"/>
      <c r="AB15" s="214"/>
      <c r="AC15" s="24" t="e">
        <f t="shared" si="2"/>
        <v>#REF!</v>
      </c>
    </row>
    <row r="16" spans="1:29" ht="42" customHeight="1">
      <c r="A16">
        <v>13</v>
      </c>
      <c r="B16" s="238">
        <v>133.19999999999999</v>
      </c>
      <c r="C16" s="217" t="s">
        <v>13</v>
      </c>
      <c r="D16" s="207" t="s">
        <v>578</v>
      </c>
      <c r="E16" s="209">
        <v>6000</v>
      </c>
      <c r="F16" s="210" t="s">
        <v>579</v>
      </c>
      <c r="G16" s="218">
        <v>0</v>
      </c>
      <c r="H16" s="219" t="e">
        <f>VLOOKUP(L:L,#REF!,2,FALSE)</f>
        <v>#REF!</v>
      </c>
      <c r="I16" s="243"/>
      <c r="J16" s="277" t="e">
        <f t="shared" si="0"/>
        <v>#REF!</v>
      </c>
      <c r="K16" s="229"/>
      <c r="L16" s="208">
        <v>11586</v>
      </c>
      <c r="M16" s="208" t="s">
        <v>577</v>
      </c>
      <c r="N16" s="215">
        <v>29362810</v>
      </c>
      <c r="O16" s="216">
        <v>913950606750000</v>
      </c>
      <c r="P16" s="239">
        <v>127</v>
      </c>
      <c r="Q16" s="217" t="s">
        <v>13</v>
      </c>
      <c r="R16" s="211" t="s">
        <v>581</v>
      </c>
      <c r="S16" s="209">
        <v>6000</v>
      </c>
      <c r="T16" s="210" t="s">
        <v>582</v>
      </c>
      <c r="U16" s="221">
        <v>0</v>
      </c>
      <c r="V16" s="240"/>
      <c r="W16" s="226">
        <f t="shared" si="1"/>
        <v>0</v>
      </c>
      <c r="X16" s="233"/>
      <c r="Y16" s="212">
        <v>11761</v>
      </c>
      <c r="Z16" s="212" t="s">
        <v>580</v>
      </c>
      <c r="AA16" s="213">
        <v>29362810</v>
      </c>
      <c r="AB16" s="214">
        <v>913950606750000</v>
      </c>
      <c r="AC16" s="24" t="e">
        <f t="shared" si="2"/>
        <v>#REF!</v>
      </c>
    </row>
    <row r="17" spans="1:29" ht="42" customHeight="1">
      <c r="A17">
        <v>14</v>
      </c>
      <c r="B17" s="238">
        <v>490</v>
      </c>
      <c r="C17" s="217" t="s">
        <v>13</v>
      </c>
      <c r="D17" s="207" t="s">
        <v>583</v>
      </c>
      <c r="E17" s="209">
        <v>5000</v>
      </c>
      <c r="F17" s="210" t="s">
        <v>584</v>
      </c>
      <c r="G17" s="218">
        <v>0</v>
      </c>
      <c r="H17" s="219" t="e">
        <f>VLOOKUP(L:L,#REF!,2,FALSE)</f>
        <v>#REF!</v>
      </c>
      <c r="I17" s="243"/>
      <c r="J17" s="277" t="e">
        <f t="shared" si="0"/>
        <v>#REF!</v>
      </c>
      <c r="K17" s="229"/>
      <c r="L17" s="208">
        <v>12670</v>
      </c>
      <c r="M17" s="208" t="s">
        <v>585</v>
      </c>
      <c r="N17" s="215">
        <v>29415090</v>
      </c>
      <c r="O17" s="216">
        <v>913961025484104</v>
      </c>
      <c r="P17" s="239">
        <v>495</v>
      </c>
      <c r="Q17" s="217" t="s">
        <v>13</v>
      </c>
      <c r="R17" s="211" t="s">
        <v>586</v>
      </c>
      <c r="S17" s="209">
        <v>5000</v>
      </c>
      <c r="T17" s="210" t="s">
        <v>86</v>
      </c>
      <c r="U17" s="221">
        <v>0</v>
      </c>
      <c r="V17" s="240"/>
      <c r="W17" s="226">
        <f t="shared" si="1"/>
        <v>0</v>
      </c>
      <c r="X17" s="233"/>
      <c r="Y17" s="212">
        <v>12717</v>
      </c>
      <c r="Z17" s="212" t="s">
        <v>587</v>
      </c>
      <c r="AA17" s="213">
        <v>29415090</v>
      </c>
      <c r="AB17" s="214">
        <v>913961025484104</v>
      </c>
      <c r="AC17" s="24" t="e">
        <f t="shared" si="2"/>
        <v>#REF!</v>
      </c>
    </row>
    <row r="18" spans="1:29" ht="42" customHeight="1">
      <c r="A18">
        <v>15</v>
      </c>
      <c r="B18" s="238">
        <v>172.5</v>
      </c>
      <c r="C18" s="217" t="s">
        <v>13</v>
      </c>
      <c r="D18" s="207" t="s">
        <v>590</v>
      </c>
      <c r="E18" s="209">
        <v>5000</v>
      </c>
      <c r="F18" s="210" t="s">
        <v>589</v>
      </c>
      <c r="G18" s="218">
        <v>0</v>
      </c>
      <c r="H18" s="219" t="e">
        <f>VLOOKUP(L:L,#REF!,2,FALSE)</f>
        <v>#REF!</v>
      </c>
      <c r="I18" s="243"/>
      <c r="J18" s="277" t="e">
        <f t="shared" si="0"/>
        <v>#REF!</v>
      </c>
      <c r="K18" s="229"/>
      <c r="L18" s="208">
        <v>11938</v>
      </c>
      <c r="M18" s="208" t="s">
        <v>588</v>
      </c>
      <c r="N18" s="215">
        <v>38089411</v>
      </c>
      <c r="O18" s="216">
        <v>913950915368961</v>
      </c>
      <c r="P18" s="239">
        <v>174</v>
      </c>
      <c r="Q18" s="217" t="s">
        <v>13</v>
      </c>
      <c r="R18" s="211" t="s">
        <v>592</v>
      </c>
      <c r="S18" s="209">
        <v>5000</v>
      </c>
      <c r="T18" s="210" t="s">
        <v>589</v>
      </c>
      <c r="U18" s="221">
        <v>0</v>
      </c>
      <c r="V18" s="240"/>
      <c r="W18" s="226">
        <f t="shared" si="1"/>
        <v>0</v>
      </c>
      <c r="X18" s="234"/>
      <c r="Y18" s="212">
        <v>12442</v>
      </c>
      <c r="Z18" s="212" t="s">
        <v>591</v>
      </c>
      <c r="AA18" s="213">
        <v>38089411</v>
      </c>
      <c r="AB18" s="214">
        <v>913950915368961</v>
      </c>
      <c r="AC18" s="24" t="e">
        <f t="shared" si="2"/>
        <v>#REF!</v>
      </c>
    </row>
    <row r="19" spans="1:29" ht="42" customHeight="1">
      <c r="A19">
        <v>16</v>
      </c>
      <c r="B19" s="238">
        <v>67.8</v>
      </c>
      <c r="C19" s="217" t="s">
        <v>13</v>
      </c>
      <c r="D19" s="207" t="s">
        <v>595</v>
      </c>
      <c r="E19" s="209">
        <v>10000</v>
      </c>
      <c r="F19" s="210" t="s">
        <v>594</v>
      </c>
      <c r="G19" s="218">
        <v>0</v>
      </c>
      <c r="H19" s="219" t="e">
        <f>VLOOKUP(L:L,#REF!,2,FALSE)</f>
        <v>#REF!</v>
      </c>
      <c r="I19" s="243"/>
      <c r="J19" s="277">
        <v>5900000</v>
      </c>
      <c r="K19" s="229"/>
      <c r="L19" s="208">
        <v>12693</v>
      </c>
      <c r="M19" s="208" t="s">
        <v>593</v>
      </c>
      <c r="N19" s="215">
        <v>29413000</v>
      </c>
      <c r="O19" s="216">
        <v>914010324574904</v>
      </c>
      <c r="P19" s="239">
        <v>69</v>
      </c>
      <c r="Q19" s="217" t="s">
        <v>13</v>
      </c>
      <c r="R19" s="207" t="s">
        <v>598</v>
      </c>
      <c r="S19" s="209">
        <v>10000</v>
      </c>
      <c r="T19" s="210" t="s">
        <v>597</v>
      </c>
      <c r="U19" s="221">
        <v>0</v>
      </c>
      <c r="V19" s="240"/>
      <c r="W19" s="226">
        <v>5980000</v>
      </c>
      <c r="X19" s="233"/>
      <c r="Y19" s="212">
        <v>12735</v>
      </c>
      <c r="Z19" s="212" t="s">
        <v>596</v>
      </c>
      <c r="AA19" s="213">
        <v>29413000</v>
      </c>
      <c r="AB19" s="214">
        <v>914010324574904</v>
      </c>
      <c r="AC19" s="24">
        <f t="shared" si="2"/>
        <v>1.0135593220338983</v>
      </c>
    </row>
    <row r="20" spans="1:29" ht="42" customHeight="1">
      <c r="A20">
        <v>17</v>
      </c>
      <c r="B20" s="175"/>
      <c r="C20" s="51"/>
      <c r="D20" s="2"/>
      <c r="E20" s="19"/>
      <c r="F20" s="50"/>
      <c r="G20" s="8">
        <v>0</v>
      </c>
      <c r="H20" s="200" t="e">
        <f>VLOOKUP(L:L,#REF!,2,FALSE)</f>
        <v>#REF!</v>
      </c>
      <c r="I20" s="64"/>
      <c r="J20" s="72" t="e">
        <f t="shared" si="0"/>
        <v>#REF!</v>
      </c>
      <c r="K20" s="4"/>
      <c r="L20" s="14"/>
      <c r="M20" s="14"/>
      <c r="N20" s="14"/>
      <c r="O20" s="32"/>
      <c r="P20" s="239">
        <v>13.9544</v>
      </c>
      <c r="Q20" s="217" t="s">
        <v>89</v>
      </c>
      <c r="R20" s="211" t="s">
        <v>599</v>
      </c>
      <c r="S20" s="209">
        <v>6000</v>
      </c>
      <c r="T20" s="210" t="s">
        <v>187</v>
      </c>
      <c r="U20" s="221">
        <v>0</v>
      </c>
      <c r="V20" s="240"/>
      <c r="W20" s="226">
        <f t="shared" si="1"/>
        <v>0</v>
      </c>
      <c r="X20" s="233"/>
      <c r="Y20" s="212">
        <v>12308</v>
      </c>
      <c r="Z20" s="212" t="s">
        <v>600</v>
      </c>
      <c r="AA20" s="213">
        <v>33012500</v>
      </c>
      <c r="AB20" s="214">
        <v>913950907379065</v>
      </c>
      <c r="AC20" s="24" t="e">
        <f t="shared" si="2"/>
        <v>#REF!</v>
      </c>
    </row>
    <row r="21" spans="1:29" ht="42" customHeight="1">
      <c r="A21">
        <v>18</v>
      </c>
      <c r="B21" s="238">
        <v>358</v>
      </c>
      <c r="C21" s="217" t="s">
        <v>13</v>
      </c>
      <c r="D21" s="207" t="s">
        <v>69</v>
      </c>
      <c r="E21" s="209">
        <v>12000</v>
      </c>
      <c r="F21" s="210" t="s">
        <v>70</v>
      </c>
      <c r="G21" s="218">
        <v>0</v>
      </c>
      <c r="H21" s="219" t="e">
        <f>VLOOKUP(L:L,#REF!,2,FALSE)</f>
        <v>#REF!</v>
      </c>
      <c r="I21" s="243"/>
      <c r="J21" s="277" t="e">
        <f t="shared" si="0"/>
        <v>#REF!</v>
      </c>
      <c r="K21" s="229"/>
      <c r="L21" s="208">
        <v>12667</v>
      </c>
      <c r="M21" s="208" t="s">
        <v>601</v>
      </c>
      <c r="N21" s="215">
        <v>29413000</v>
      </c>
      <c r="O21" s="216">
        <v>913950628097997</v>
      </c>
      <c r="P21" s="239">
        <v>430</v>
      </c>
      <c r="Q21" s="217" t="s">
        <v>13</v>
      </c>
      <c r="R21" s="211" t="s">
        <v>604</v>
      </c>
      <c r="S21" s="209">
        <v>6000</v>
      </c>
      <c r="T21" s="210" t="s">
        <v>603</v>
      </c>
      <c r="U21" s="221">
        <v>0</v>
      </c>
      <c r="V21" s="240"/>
      <c r="W21" s="226">
        <f t="shared" si="1"/>
        <v>0</v>
      </c>
      <c r="X21" s="233"/>
      <c r="Y21" s="212">
        <v>11617</v>
      </c>
      <c r="Z21" s="212" t="s">
        <v>602</v>
      </c>
      <c r="AA21" s="213">
        <v>29413000</v>
      </c>
      <c r="AB21" s="214">
        <v>914000819200004</v>
      </c>
      <c r="AC21" s="24" t="e">
        <f t="shared" si="2"/>
        <v>#REF!</v>
      </c>
    </row>
    <row r="22" spans="1:29" ht="42" customHeight="1">
      <c r="A22">
        <v>19</v>
      </c>
      <c r="B22" s="238">
        <v>2540</v>
      </c>
      <c r="C22" s="217" t="s">
        <v>13</v>
      </c>
      <c r="D22" s="207" t="s">
        <v>607</v>
      </c>
      <c r="E22" s="209">
        <v>250</v>
      </c>
      <c r="F22" s="210" t="s">
        <v>606</v>
      </c>
      <c r="G22" s="218">
        <v>0</v>
      </c>
      <c r="H22" s="219" t="e">
        <f>VLOOKUP(L:L,#REF!,2,FALSE)</f>
        <v>#REF!</v>
      </c>
      <c r="I22" s="243"/>
      <c r="J22" s="277" t="e">
        <f t="shared" si="0"/>
        <v>#REF!</v>
      </c>
      <c r="K22" s="229"/>
      <c r="L22" s="208">
        <v>11922</v>
      </c>
      <c r="M22" s="208" t="s">
        <v>605</v>
      </c>
      <c r="N22" s="215">
        <v>29419090</v>
      </c>
      <c r="O22" s="216">
        <v>913950906093021</v>
      </c>
      <c r="P22" s="239">
        <v>2589</v>
      </c>
      <c r="Q22" s="217" t="s">
        <v>551</v>
      </c>
      <c r="R22" s="207" t="s">
        <v>609</v>
      </c>
      <c r="S22" s="209">
        <v>250</v>
      </c>
      <c r="T22" s="210" t="s">
        <v>77</v>
      </c>
      <c r="U22" s="221">
        <v>0</v>
      </c>
      <c r="V22" s="240"/>
      <c r="W22" s="226">
        <f t="shared" si="1"/>
        <v>0</v>
      </c>
      <c r="X22" s="233"/>
      <c r="Y22" s="212">
        <v>12256</v>
      </c>
      <c r="Z22" s="212" t="s">
        <v>608</v>
      </c>
      <c r="AA22" s="213">
        <v>29419090</v>
      </c>
      <c r="AB22" s="214">
        <v>913950906093021</v>
      </c>
      <c r="AC22" s="24" t="e">
        <f>W22/J22/1.5</f>
        <v>#REF!</v>
      </c>
    </row>
    <row r="23" spans="1:29" ht="42" customHeight="1">
      <c r="A23">
        <v>20</v>
      </c>
      <c r="B23" s="280">
        <v>23.2</v>
      </c>
      <c r="C23" s="217" t="s">
        <v>13</v>
      </c>
      <c r="D23" s="207" t="s">
        <v>611</v>
      </c>
      <c r="E23" s="209">
        <v>10000</v>
      </c>
      <c r="F23" s="210" t="s">
        <v>610</v>
      </c>
      <c r="G23" s="218">
        <v>0</v>
      </c>
      <c r="H23" s="219" t="e">
        <f>VLOOKUP(L:L,#REF!,2,FALSE)</f>
        <v>#REF!</v>
      </c>
      <c r="I23" s="243"/>
      <c r="J23" s="277" t="e">
        <f t="shared" si="0"/>
        <v>#REF!</v>
      </c>
      <c r="K23" s="230"/>
      <c r="L23" s="208">
        <v>12213</v>
      </c>
      <c r="M23" s="208" t="s">
        <v>841</v>
      </c>
      <c r="N23" s="215" t="s">
        <v>847</v>
      </c>
      <c r="O23" s="216">
        <v>913950504703500</v>
      </c>
      <c r="P23" s="239">
        <v>25</v>
      </c>
      <c r="Q23" s="217" t="s">
        <v>13</v>
      </c>
      <c r="R23" s="211" t="s">
        <v>844</v>
      </c>
      <c r="S23" s="209">
        <v>10000</v>
      </c>
      <c r="T23" s="210" t="s">
        <v>843</v>
      </c>
      <c r="U23" s="221">
        <v>0</v>
      </c>
      <c r="V23" s="240"/>
      <c r="W23" s="226">
        <f t="shared" si="1"/>
        <v>0</v>
      </c>
      <c r="X23" s="233"/>
      <c r="Y23" s="21">
        <v>12071</v>
      </c>
      <c r="Z23" s="21" t="s">
        <v>842</v>
      </c>
      <c r="AA23" s="213" t="s">
        <v>847</v>
      </c>
      <c r="AB23" s="214">
        <v>913950504703500</v>
      </c>
      <c r="AC23" s="24" t="e">
        <f>W23/J23</f>
        <v>#REF!</v>
      </c>
    </row>
    <row r="24" spans="1:29" ht="42" customHeight="1">
      <c r="A24">
        <v>21</v>
      </c>
      <c r="B24" s="238">
        <v>318</v>
      </c>
      <c r="C24" s="217" t="s">
        <v>13</v>
      </c>
      <c r="D24" s="207" t="s">
        <v>613</v>
      </c>
      <c r="E24" s="209">
        <v>5000</v>
      </c>
      <c r="F24" s="210" t="s">
        <v>250</v>
      </c>
      <c r="G24" s="218">
        <v>0</v>
      </c>
      <c r="H24" s="219" t="e">
        <f>VLOOKUP(L:L,#REF!,2,FALSE)</f>
        <v>#REF!</v>
      </c>
      <c r="I24" s="243"/>
      <c r="J24" s="277" t="e">
        <f t="shared" si="0"/>
        <v>#REF!</v>
      </c>
      <c r="K24" s="229"/>
      <c r="L24" s="208">
        <v>12703</v>
      </c>
      <c r="M24" s="208" t="s">
        <v>612</v>
      </c>
      <c r="N24" s="215">
        <v>29415090</v>
      </c>
      <c r="O24" s="216">
        <v>913951202550710</v>
      </c>
      <c r="P24" s="238">
        <v>320</v>
      </c>
      <c r="Q24" s="217" t="s">
        <v>13</v>
      </c>
      <c r="R24" s="207" t="s">
        <v>252</v>
      </c>
      <c r="S24" s="209">
        <v>5000</v>
      </c>
      <c r="T24" s="210" t="s">
        <v>257</v>
      </c>
      <c r="U24" s="221">
        <v>0</v>
      </c>
      <c r="V24" s="240"/>
      <c r="W24" s="226">
        <f t="shared" si="1"/>
        <v>0</v>
      </c>
      <c r="X24" s="234"/>
      <c r="Y24" s="208">
        <v>12746</v>
      </c>
      <c r="Z24" s="208" t="s">
        <v>614</v>
      </c>
      <c r="AA24" s="213">
        <v>29415090</v>
      </c>
      <c r="AB24" s="214">
        <v>913951202550710</v>
      </c>
      <c r="AC24" s="24" t="e">
        <f>W24/J24</f>
        <v>#REF!</v>
      </c>
    </row>
    <row r="25" spans="1:29" ht="42" customHeight="1">
      <c r="A25">
        <v>22</v>
      </c>
      <c r="B25" s="238">
        <v>171</v>
      </c>
      <c r="C25" s="217" t="s">
        <v>13</v>
      </c>
      <c r="D25" s="207" t="s">
        <v>617</v>
      </c>
      <c r="E25" s="209">
        <v>5000</v>
      </c>
      <c r="F25" s="210" t="s">
        <v>616</v>
      </c>
      <c r="G25" s="220">
        <v>0</v>
      </c>
      <c r="H25" s="219" t="e">
        <f>VLOOKUP(L:L,#REF!,2,FALSE)</f>
        <v>#REF!</v>
      </c>
      <c r="I25" s="243"/>
      <c r="J25" s="277" t="e">
        <f t="shared" si="0"/>
        <v>#REF!</v>
      </c>
      <c r="K25" s="229"/>
      <c r="L25" s="208">
        <v>12662</v>
      </c>
      <c r="M25" s="208" t="s">
        <v>615</v>
      </c>
      <c r="N25" s="215">
        <v>29413000</v>
      </c>
      <c r="O25" s="216">
        <v>913950713920135</v>
      </c>
      <c r="P25" s="239">
        <v>186</v>
      </c>
      <c r="Q25" s="217" t="s">
        <v>13</v>
      </c>
      <c r="R25" s="211" t="s">
        <v>38</v>
      </c>
      <c r="S25" s="209">
        <v>5000</v>
      </c>
      <c r="T25" s="210" t="s">
        <v>36</v>
      </c>
      <c r="U25" s="221">
        <v>0</v>
      </c>
      <c r="V25" s="240"/>
      <c r="W25" s="226">
        <f t="shared" si="1"/>
        <v>0</v>
      </c>
      <c r="X25" s="226"/>
      <c r="Y25" s="212">
        <v>12710</v>
      </c>
      <c r="Z25" s="212" t="s">
        <v>618</v>
      </c>
      <c r="AA25" s="213">
        <v>29413000</v>
      </c>
      <c r="AB25" s="214">
        <v>913950713920135</v>
      </c>
      <c r="AC25" s="28" t="e">
        <f>W25/J25</f>
        <v>#REF!</v>
      </c>
    </row>
    <row r="26" spans="1:29" s="318" customFormat="1" ht="42" customHeight="1">
      <c r="A26" s="318">
        <v>23</v>
      </c>
      <c r="B26" s="260">
        <v>29.6</v>
      </c>
      <c r="C26" s="210" t="s">
        <v>13</v>
      </c>
      <c r="D26" s="207" t="s">
        <v>852</v>
      </c>
      <c r="E26" s="273">
        <v>2500</v>
      </c>
      <c r="F26" s="210" t="s">
        <v>112</v>
      </c>
      <c r="G26" s="218">
        <v>0</v>
      </c>
      <c r="H26" s="219" t="e">
        <v>#REF!</v>
      </c>
      <c r="I26" s="327"/>
      <c r="J26" s="277" t="e">
        <v>#REF!</v>
      </c>
      <c r="K26" s="229"/>
      <c r="L26" s="328">
        <v>11909</v>
      </c>
      <c r="M26" s="328" t="s">
        <v>851</v>
      </c>
      <c r="N26" s="325">
        <v>29362700</v>
      </c>
      <c r="O26" s="326">
        <v>913980402510150</v>
      </c>
      <c r="P26" s="321">
        <v>34</v>
      </c>
      <c r="Q26" s="210" t="s">
        <v>13</v>
      </c>
      <c r="R26" s="207" t="s">
        <v>849</v>
      </c>
      <c r="S26" s="273">
        <v>2500</v>
      </c>
      <c r="T26" s="210" t="s">
        <v>112</v>
      </c>
      <c r="U26" s="322"/>
      <c r="V26" s="323"/>
      <c r="W26" s="324"/>
      <c r="X26" s="219"/>
      <c r="Y26" s="275">
        <v>12086</v>
      </c>
      <c r="Z26" s="275" t="s">
        <v>850</v>
      </c>
      <c r="AA26" s="325">
        <v>29362700</v>
      </c>
      <c r="AB26" s="326">
        <v>913980402510150</v>
      </c>
      <c r="AC26" s="24" t="e">
        <v>#REF!</v>
      </c>
    </row>
    <row r="27" spans="1:29" ht="42" customHeight="1">
      <c r="A27">
        <v>24</v>
      </c>
      <c r="B27" s="238">
        <v>236</v>
      </c>
      <c r="C27" s="217" t="s">
        <v>13</v>
      </c>
      <c r="D27" s="207" t="s">
        <v>619</v>
      </c>
      <c r="E27" s="209">
        <v>5000</v>
      </c>
      <c r="F27" s="210" t="s">
        <v>26</v>
      </c>
      <c r="G27" s="218">
        <v>0</v>
      </c>
      <c r="H27" s="219" t="e">
        <f>VLOOKUP(L:L,#REF!,2,FALSE)</f>
        <v>#REF!</v>
      </c>
      <c r="I27" s="243"/>
      <c r="J27" s="277" t="e">
        <f t="shared" si="0"/>
        <v>#REF!</v>
      </c>
      <c r="K27" s="229"/>
      <c r="L27" s="208">
        <v>12661</v>
      </c>
      <c r="M27" s="208" t="s">
        <v>620</v>
      </c>
      <c r="N27" s="215">
        <v>29335990</v>
      </c>
      <c r="O27" s="216">
        <v>913950714424406</v>
      </c>
      <c r="P27" s="239">
        <v>237</v>
      </c>
      <c r="Q27" s="217" t="s">
        <v>13</v>
      </c>
      <c r="R27" s="211" t="s">
        <v>28</v>
      </c>
      <c r="S27" s="209">
        <v>5000</v>
      </c>
      <c r="T27" s="210" t="s">
        <v>29</v>
      </c>
      <c r="U27" s="221">
        <v>0</v>
      </c>
      <c r="V27" s="240"/>
      <c r="W27" s="226">
        <f t="shared" si="1"/>
        <v>0</v>
      </c>
      <c r="X27" s="233"/>
      <c r="Y27" s="212">
        <v>12708</v>
      </c>
      <c r="Z27" s="212" t="s">
        <v>621</v>
      </c>
      <c r="AA27" s="213">
        <v>29335990</v>
      </c>
      <c r="AB27" s="214">
        <v>914020117364618</v>
      </c>
      <c r="AC27" s="24" t="e">
        <f>W27/J27/1.6</f>
        <v>#REF!</v>
      </c>
    </row>
    <row r="28" spans="1:29" ht="42" customHeight="1">
      <c r="A28">
        <v>25</v>
      </c>
      <c r="B28" s="238">
        <v>8450</v>
      </c>
      <c r="C28" s="217" t="s">
        <v>551</v>
      </c>
      <c r="D28" s="207" t="s">
        <v>622</v>
      </c>
      <c r="E28" s="209">
        <v>28</v>
      </c>
      <c r="F28" s="210" t="s">
        <v>623</v>
      </c>
      <c r="G28" s="218">
        <v>0</v>
      </c>
      <c r="H28" s="219" t="e">
        <f>VLOOKUP(L:L,#REF!,2,FALSE)</f>
        <v>#REF!</v>
      </c>
      <c r="I28" s="243"/>
      <c r="J28" s="277" t="e">
        <f t="shared" si="0"/>
        <v>#REF!</v>
      </c>
      <c r="K28" s="229"/>
      <c r="L28" s="208">
        <v>12323</v>
      </c>
      <c r="M28" s="208" t="s">
        <v>624</v>
      </c>
      <c r="N28" s="215">
        <v>29362990</v>
      </c>
      <c r="O28" s="216">
        <v>913980916850707</v>
      </c>
      <c r="P28" s="239">
        <v>21980</v>
      </c>
      <c r="Q28" s="217" t="s">
        <v>551</v>
      </c>
      <c r="R28" s="207" t="s">
        <v>625</v>
      </c>
      <c r="S28" s="209">
        <v>28</v>
      </c>
      <c r="T28" s="210" t="s">
        <v>623</v>
      </c>
      <c r="U28" s="221">
        <v>0</v>
      </c>
      <c r="V28" s="240"/>
      <c r="W28" s="226">
        <f t="shared" si="1"/>
        <v>0</v>
      </c>
      <c r="X28" s="233"/>
      <c r="Y28" s="212">
        <v>12300</v>
      </c>
      <c r="Z28" s="212" t="s">
        <v>626</v>
      </c>
      <c r="AA28" s="213">
        <v>29362990</v>
      </c>
      <c r="AB28" s="214">
        <v>913980916850707</v>
      </c>
      <c r="AC28" s="24" t="e">
        <f t="shared" ref="AC28:AC36" si="3">W28/J28</f>
        <v>#REF!</v>
      </c>
    </row>
    <row r="29" spans="1:29" ht="42" customHeight="1">
      <c r="A29">
        <v>26</v>
      </c>
      <c r="B29" s="260"/>
      <c r="C29" s="210"/>
      <c r="D29" s="207" t="s">
        <v>627</v>
      </c>
      <c r="E29" s="209">
        <v>100</v>
      </c>
      <c r="F29" s="210" t="s">
        <v>360</v>
      </c>
      <c r="G29" s="218">
        <v>0</v>
      </c>
      <c r="H29" s="219" t="e">
        <f>VLOOKUP(L:L,#REF!,2,FALSE)</f>
        <v>#REF!</v>
      </c>
      <c r="I29" s="243"/>
      <c r="J29" s="277" t="e">
        <f t="shared" si="0"/>
        <v>#REF!</v>
      </c>
      <c r="K29" s="228"/>
      <c r="L29" s="208"/>
      <c r="M29" s="208"/>
      <c r="N29" s="215">
        <v>29419090</v>
      </c>
      <c r="O29" s="216">
        <v>913990612927246</v>
      </c>
      <c r="P29" s="239">
        <v>6360</v>
      </c>
      <c r="Q29" s="217" t="s">
        <v>551</v>
      </c>
      <c r="R29" s="211" t="s">
        <v>627</v>
      </c>
      <c r="S29" s="209">
        <v>100</v>
      </c>
      <c r="T29" s="210" t="s">
        <v>360</v>
      </c>
      <c r="U29" s="221">
        <v>0</v>
      </c>
      <c r="V29" s="240"/>
      <c r="W29" s="226">
        <f t="shared" si="1"/>
        <v>0</v>
      </c>
      <c r="X29" s="233"/>
      <c r="Y29" s="212">
        <v>12787</v>
      </c>
      <c r="Z29" s="212" t="s">
        <v>628</v>
      </c>
      <c r="AA29" s="213">
        <v>29419090</v>
      </c>
      <c r="AB29" s="214">
        <v>913990612927246</v>
      </c>
      <c r="AC29" s="24" t="e">
        <f t="shared" si="3"/>
        <v>#REF!</v>
      </c>
    </row>
    <row r="30" spans="1:29" ht="42" customHeight="1">
      <c r="A30">
        <v>27</v>
      </c>
      <c r="B30" s="238">
        <v>86.5</v>
      </c>
      <c r="C30" s="217" t="s">
        <v>13</v>
      </c>
      <c r="D30" s="211" t="s">
        <v>630</v>
      </c>
      <c r="E30" s="209">
        <v>2000</v>
      </c>
      <c r="F30" s="210" t="s">
        <v>559</v>
      </c>
      <c r="G30" s="218">
        <v>0</v>
      </c>
      <c r="H30" s="219" t="e">
        <f>VLOOKUP(L:L,#REF!,2,FALSE)</f>
        <v>#REF!</v>
      </c>
      <c r="I30" s="243"/>
      <c r="J30" s="277" t="e">
        <f t="shared" si="0"/>
        <v>#REF!</v>
      </c>
      <c r="K30" s="219"/>
      <c r="L30" s="208">
        <v>12695</v>
      </c>
      <c r="M30" s="208" t="s">
        <v>557</v>
      </c>
      <c r="N30" s="215">
        <v>29413000</v>
      </c>
      <c r="O30" s="216">
        <v>914000603237800</v>
      </c>
      <c r="P30" s="239">
        <v>126</v>
      </c>
      <c r="Q30" s="217" t="s">
        <v>13</v>
      </c>
      <c r="R30" s="211" t="s">
        <v>630</v>
      </c>
      <c r="S30" s="209">
        <v>2000</v>
      </c>
      <c r="T30" s="210" t="s">
        <v>200</v>
      </c>
      <c r="U30" s="221">
        <v>0</v>
      </c>
      <c r="V30" s="240"/>
      <c r="W30" s="226">
        <f t="shared" si="1"/>
        <v>0</v>
      </c>
      <c r="X30" s="234"/>
      <c r="Y30" s="212">
        <v>12571</v>
      </c>
      <c r="Z30" s="212" t="s">
        <v>629</v>
      </c>
      <c r="AA30" s="215">
        <v>29413000</v>
      </c>
      <c r="AB30" s="216">
        <v>914000603237800</v>
      </c>
      <c r="AC30" s="24" t="e">
        <f t="shared" si="3"/>
        <v>#REF!</v>
      </c>
    </row>
    <row r="31" spans="1:29" ht="42" customHeight="1">
      <c r="A31">
        <v>28</v>
      </c>
      <c r="B31" s="238">
        <v>264</v>
      </c>
      <c r="C31" s="217" t="s">
        <v>13</v>
      </c>
      <c r="D31" s="207" t="s">
        <v>631</v>
      </c>
      <c r="E31" s="209">
        <v>4000</v>
      </c>
      <c r="F31" s="210" t="s">
        <v>137</v>
      </c>
      <c r="G31" s="218">
        <v>0</v>
      </c>
      <c r="H31" s="219" t="e">
        <f>VLOOKUP(L:L,#REF!,2,FALSE)</f>
        <v>#REF!</v>
      </c>
      <c r="I31" s="243"/>
      <c r="J31" s="277" t="e">
        <f t="shared" si="0"/>
        <v>#REF!</v>
      </c>
      <c r="K31" s="229"/>
      <c r="L31" s="208">
        <v>12233</v>
      </c>
      <c r="M31" s="208" t="s">
        <v>139</v>
      </c>
      <c r="N31" s="309">
        <v>29412000</v>
      </c>
      <c r="O31" s="310">
        <v>913990714957256</v>
      </c>
      <c r="P31" s="239">
        <v>41.515000000000001</v>
      </c>
      <c r="Q31" s="217" t="s">
        <v>89</v>
      </c>
      <c r="R31" s="211" t="s">
        <v>140</v>
      </c>
      <c r="S31" s="209">
        <v>4000</v>
      </c>
      <c r="T31" s="210" t="s">
        <v>141</v>
      </c>
      <c r="U31" s="221">
        <v>0</v>
      </c>
      <c r="V31" s="240"/>
      <c r="W31" s="226">
        <f t="shared" si="1"/>
        <v>0</v>
      </c>
      <c r="X31" s="233"/>
      <c r="Y31" s="212">
        <v>12489</v>
      </c>
      <c r="Z31" s="212" t="s">
        <v>143</v>
      </c>
      <c r="AA31" s="36">
        <v>29412000</v>
      </c>
      <c r="AB31" s="311">
        <v>913990714957256</v>
      </c>
      <c r="AC31" s="24" t="e">
        <f t="shared" si="3"/>
        <v>#REF!</v>
      </c>
    </row>
    <row r="32" spans="1:29" ht="42" customHeight="1">
      <c r="A32">
        <v>29</v>
      </c>
      <c r="B32" s="238">
        <v>483</v>
      </c>
      <c r="C32" s="217" t="s">
        <v>13</v>
      </c>
      <c r="D32" s="207" t="s">
        <v>443</v>
      </c>
      <c r="E32" s="209">
        <v>5000</v>
      </c>
      <c r="F32" s="210" t="s">
        <v>632</v>
      </c>
      <c r="G32" s="218">
        <v>0</v>
      </c>
      <c r="H32" s="219" t="e">
        <f>VLOOKUP(L:L,#REF!,2,FALSE)</f>
        <v>#REF!</v>
      </c>
      <c r="I32" s="243"/>
      <c r="J32" s="277" t="e">
        <f t="shared" si="0"/>
        <v>#REF!</v>
      </c>
      <c r="K32" s="229"/>
      <c r="L32" s="208">
        <v>12821</v>
      </c>
      <c r="M32" s="208" t="s">
        <v>633</v>
      </c>
      <c r="N32" s="215">
        <v>29419090</v>
      </c>
      <c r="O32" s="216">
        <v>914011221218799</v>
      </c>
      <c r="P32" s="239">
        <v>485</v>
      </c>
      <c r="Q32" s="217" t="s">
        <v>13</v>
      </c>
      <c r="R32" s="211" t="s">
        <v>634</v>
      </c>
      <c r="S32" s="209">
        <v>5000</v>
      </c>
      <c r="T32" s="210" t="s">
        <v>475</v>
      </c>
      <c r="U32" s="221">
        <v>0</v>
      </c>
      <c r="V32" s="240"/>
      <c r="W32" s="226">
        <f t="shared" si="1"/>
        <v>0</v>
      </c>
      <c r="X32" s="233"/>
      <c r="Y32" s="212">
        <v>12806</v>
      </c>
      <c r="Z32" s="212" t="s">
        <v>635</v>
      </c>
      <c r="AA32" s="213">
        <v>29419090</v>
      </c>
      <c r="AB32" s="214">
        <v>914011221218799</v>
      </c>
      <c r="AC32" s="24" t="e">
        <f t="shared" si="3"/>
        <v>#REF!</v>
      </c>
    </row>
    <row r="33" spans="1:29" ht="42" customHeight="1">
      <c r="A33">
        <v>30</v>
      </c>
      <c r="B33" s="238"/>
      <c r="C33" s="217"/>
      <c r="D33" s="207" t="s">
        <v>343</v>
      </c>
      <c r="E33" s="209">
        <v>10000</v>
      </c>
      <c r="F33" s="210" t="s">
        <v>344</v>
      </c>
      <c r="G33" s="218">
        <v>0</v>
      </c>
      <c r="H33" s="219" t="e">
        <f>VLOOKUP(L:L,#REF!,2,FALSE)</f>
        <v>#REF!</v>
      </c>
      <c r="I33" s="243"/>
      <c r="J33" s="277" t="e">
        <f t="shared" si="0"/>
        <v>#REF!</v>
      </c>
      <c r="K33" s="219"/>
      <c r="L33" s="208"/>
      <c r="M33" s="208"/>
      <c r="N33" s="215">
        <v>29337990</v>
      </c>
      <c r="O33" s="216">
        <v>913981017108341</v>
      </c>
      <c r="P33" s="239">
        <v>22</v>
      </c>
      <c r="Q33" s="217" t="s">
        <v>13</v>
      </c>
      <c r="R33" s="211" t="s">
        <v>343</v>
      </c>
      <c r="S33" s="209">
        <v>10000</v>
      </c>
      <c r="T33" s="210" t="s">
        <v>344</v>
      </c>
      <c r="U33" s="221">
        <v>0</v>
      </c>
      <c r="V33" s="240"/>
      <c r="W33" s="226">
        <f t="shared" si="1"/>
        <v>0</v>
      </c>
      <c r="X33" s="234"/>
      <c r="Y33" s="212">
        <v>12781</v>
      </c>
      <c r="Z33" s="212" t="s">
        <v>636</v>
      </c>
      <c r="AA33" s="213">
        <v>29337990</v>
      </c>
      <c r="AB33" s="214">
        <v>913981017108341</v>
      </c>
      <c r="AC33" s="24" t="e">
        <f t="shared" si="3"/>
        <v>#REF!</v>
      </c>
    </row>
    <row r="34" spans="1:29" ht="42" customHeight="1">
      <c r="A34">
        <v>31</v>
      </c>
      <c r="B34" s="238">
        <v>2950</v>
      </c>
      <c r="C34" s="217" t="s">
        <v>13</v>
      </c>
      <c r="D34" s="207" t="s">
        <v>639</v>
      </c>
      <c r="E34" s="209">
        <v>400</v>
      </c>
      <c r="F34" s="210" t="s">
        <v>638</v>
      </c>
      <c r="G34" s="218">
        <v>0</v>
      </c>
      <c r="H34" s="219">
        <v>81.5</v>
      </c>
      <c r="I34" s="243"/>
      <c r="J34" s="277">
        <f t="shared" si="0"/>
        <v>32600</v>
      </c>
      <c r="K34" s="229"/>
      <c r="L34" s="208">
        <v>12686</v>
      </c>
      <c r="M34" s="208" t="s">
        <v>637</v>
      </c>
      <c r="N34" s="215">
        <v>29419090</v>
      </c>
      <c r="O34" s="216">
        <v>913980321321892</v>
      </c>
      <c r="P34" s="239">
        <v>3000</v>
      </c>
      <c r="Q34" s="217" t="s">
        <v>13</v>
      </c>
      <c r="R34" s="211" t="s">
        <v>641</v>
      </c>
      <c r="S34" s="209">
        <v>400</v>
      </c>
      <c r="T34" s="210" t="s">
        <v>77</v>
      </c>
      <c r="U34" s="221">
        <v>0</v>
      </c>
      <c r="V34" s="240"/>
      <c r="W34" s="226">
        <f t="shared" si="1"/>
        <v>0</v>
      </c>
      <c r="X34" s="234"/>
      <c r="Y34" s="212">
        <v>12763</v>
      </c>
      <c r="Z34" s="212" t="s">
        <v>640</v>
      </c>
      <c r="AA34" s="213">
        <v>29419090</v>
      </c>
      <c r="AB34" s="214">
        <v>913980321321892</v>
      </c>
      <c r="AC34" s="24">
        <f t="shared" si="3"/>
        <v>0</v>
      </c>
    </row>
    <row r="35" spans="1:29" ht="42" customHeight="1">
      <c r="A35">
        <v>32</v>
      </c>
      <c r="B35" s="238"/>
      <c r="C35" s="217"/>
      <c r="D35" s="211" t="s">
        <v>643</v>
      </c>
      <c r="E35" s="209">
        <v>15200</v>
      </c>
      <c r="F35" s="210" t="s">
        <v>365</v>
      </c>
      <c r="G35" s="218">
        <v>0</v>
      </c>
      <c r="H35" s="219">
        <v>67.8</v>
      </c>
      <c r="I35" s="243"/>
      <c r="J35" s="277">
        <f t="shared" si="0"/>
        <v>1030560</v>
      </c>
      <c r="K35" s="229"/>
      <c r="L35" s="208"/>
      <c r="M35" s="208"/>
      <c r="N35" s="215">
        <v>29053900</v>
      </c>
      <c r="O35" s="216">
        <v>913980721310046</v>
      </c>
      <c r="P35" s="239">
        <v>56</v>
      </c>
      <c r="Q35" s="217" t="s">
        <v>13</v>
      </c>
      <c r="R35" s="211" t="s">
        <v>643</v>
      </c>
      <c r="S35" s="209">
        <v>15200</v>
      </c>
      <c r="T35" s="210" t="s">
        <v>365</v>
      </c>
      <c r="U35" s="221">
        <v>0</v>
      </c>
      <c r="V35" s="240"/>
      <c r="W35" s="226">
        <f t="shared" si="1"/>
        <v>0</v>
      </c>
      <c r="X35" s="233"/>
      <c r="Y35" s="212">
        <v>12789</v>
      </c>
      <c r="Z35" s="212" t="s">
        <v>642</v>
      </c>
      <c r="AA35" s="213">
        <v>29053900</v>
      </c>
      <c r="AB35" s="214">
        <v>913980721310046</v>
      </c>
      <c r="AC35" s="24">
        <f t="shared" si="3"/>
        <v>0</v>
      </c>
    </row>
    <row r="36" spans="1:29" ht="42" customHeight="1">
      <c r="A36">
        <v>33</v>
      </c>
      <c r="B36" s="238">
        <v>15.65</v>
      </c>
      <c r="C36" s="217" t="s">
        <v>13</v>
      </c>
      <c r="D36" s="207" t="s">
        <v>158</v>
      </c>
      <c r="E36" s="209">
        <v>10000</v>
      </c>
      <c r="F36" s="210" t="s">
        <v>646</v>
      </c>
      <c r="G36" s="218">
        <v>0</v>
      </c>
      <c r="H36" s="219" t="e">
        <f>VLOOKUP(L:L,#REF!,2,FALSE)</f>
        <v>#REF!</v>
      </c>
      <c r="I36" s="243"/>
      <c r="J36" s="277" t="e">
        <f t="shared" si="0"/>
        <v>#REF!</v>
      </c>
      <c r="K36" s="229"/>
      <c r="L36" s="208">
        <v>12688</v>
      </c>
      <c r="M36" s="208" t="s">
        <v>645</v>
      </c>
      <c r="N36" s="215">
        <v>29337990</v>
      </c>
      <c r="O36" s="216">
        <v>913951202536209</v>
      </c>
      <c r="P36" s="239">
        <v>20</v>
      </c>
      <c r="Q36" s="217" t="s">
        <v>13</v>
      </c>
      <c r="R36" s="211" t="s">
        <v>158</v>
      </c>
      <c r="S36" s="209">
        <v>10000</v>
      </c>
      <c r="T36" s="210" t="s">
        <v>159</v>
      </c>
      <c r="U36" s="221">
        <v>0</v>
      </c>
      <c r="V36" s="240"/>
      <c r="W36" s="226">
        <f t="shared" si="1"/>
        <v>0</v>
      </c>
      <c r="X36" s="233"/>
      <c r="Y36" s="212">
        <v>12729</v>
      </c>
      <c r="Z36" s="212" t="s">
        <v>644</v>
      </c>
      <c r="AA36" s="213">
        <v>29337990</v>
      </c>
      <c r="AB36" s="214">
        <v>913951202536209</v>
      </c>
      <c r="AC36" s="24" t="e">
        <f t="shared" si="3"/>
        <v>#REF!</v>
      </c>
    </row>
    <row r="37" spans="1:29" ht="42" customHeight="1">
      <c r="A37">
        <v>34</v>
      </c>
      <c r="B37" s="238">
        <v>25.1</v>
      </c>
      <c r="C37" s="217" t="s">
        <v>13</v>
      </c>
      <c r="D37" s="211" t="s">
        <v>648</v>
      </c>
      <c r="E37" s="209">
        <v>80000</v>
      </c>
      <c r="F37" s="210" t="s">
        <v>649</v>
      </c>
      <c r="G37" s="218">
        <v>0</v>
      </c>
      <c r="H37" s="219">
        <v>86.5</v>
      </c>
      <c r="I37" s="243"/>
      <c r="J37" s="277">
        <f t="shared" si="0"/>
        <v>6920000</v>
      </c>
      <c r="K37" s="229"/>
      <c r="L37" s="208">
        <v>12697</v>
      </c>
      <c r="M37" s="208" t="s">
        <v>647</v>
      </c>
      <c r="N37" s="215">
        <v>29412000</v>
      </c>
      <c r="O37" s="216">
        <v>913971209496635</v>
      </c>
      <c r="P37" s="239">
        <v>25.5</v>
      </c>
      <c r="Q37" s="217" t="s">
        <v>13</v>
      </c>
      <c r="R37" s="211" t="s">
        <v>648</v>
      </c>
      <c r="S37" s="209">
        <v>80000</v>
      </c>
      <c r="T37" s="210" t="s">
        <v>61</v>
      </c>
      <c r="U37" s="221">
        <v>0</v>
      </c>
      <c r="V37" s="240"/>
      <c r="W37" s="226">
        <f t="shared" si="1"/>
        <v>0</v>
      </c>
      <c r="X37" s="233"/>
      <c r="Y37" s="212">
        <v>12739</v>
      </c>
      <c r="Z37" s="212" t="s">
        <v>650</v>
      </c>
      <c r="AA37" s="213">
        <v>29412000</v>
      </c>
      <c r="AB37" s="214">
        <v>913971209496635</v>
      </c>
      <c r="AC37" s="24" t="e">
        <f>U37/G37</f>
        <v>#DIV/0!</v>
      </c>
    </row>
    <row r="38" spans="1:29" ht="42" customHeight="1">
      <c r="A38">
        <v>35</v>
      </c>
      <c r="B38" s="238">
        <v>604</v>
      </c>
      <c r="C38" s="217" t="s">
        <v>13</v>
      </c>
      <c r="D38" s="207" t="s">
        <v>48</v>
      </c>
      <c r="E38" s="209">
        <v>5000</v>
      </c>
      <c r="F38" s="210" t="s">
        <v>49</v>
      </c>
      <c r="G38" s="218">
        <v>0</v>
      </c>
      <c r="H38" s="219" t="e">
        <f>VLOOKUP(L:L,#REF!,2,FALSE)</f>
        <v>#REF!</v>
      </c>
      <c r="I38" s="243"/>
      <c r="J38" s="277" t="e">
        <f t="shared" si="0"/>
        <v>#REF!</v>
      </c>
      <c r="K38" s="229"/>
      <c r="L38" s="208">
        <v>12663</v>
      </c>
      <c r="M38" s="208" t="s">
        <v>651</v>
      </c>
      <c r="N38" s="215">
        <v>29269090</v>
      </c>
      <c r="O38" s="216">
        <v>913980329016283</v>
      </c>
      <c r="P38" s="239">
        <v>637</v>
      </c>
      <c r="Q38" s="217" t="s">
        <v>13</v>
      </c>
      <c r="R38" s="211" t="s">
        <v>653</v>
      </c>
      <c r="S38" s="209">
        <v>5000</v>
      </c>
      <c r="T38" s="210" t="s">
        <v>51</v>
      </c>
      <c r="U38" s="221">
        <v>0</v>
      </c>
      <c r="V38" s="240"/>
      <c r="W38" s="226">
        <f t="shared" si="1"/>
        <v>0</v>
      </c>
      <c r="X38" s="233"/>
      <c r="Y38" s="212">
        <v>12711</v>
      </c>
      <c r="Z38" s="212" t="s">
        <v>652</v>
      </c>
      <c r="AA38" s="213">
        <v>29269090</v>
      </c>
      <c r="AB38" s="214">
        <v>913980329016283</v>
      </c>
      <c r="AC38" s="24" t="e">
        <f t="shared" ref="AC38:AC45" si="4">W38/J38</f>
        <v>#REF!</v>
      </c>
    </row>
    <row r="39" spans="1:29" s="318" customFormat="1" ht="42" customHeight="1">
      <c r="A39" s="318">
        <v>36</v>
      </c>
      <c r="B39" s="319"/>
      <c r="C39" s="50"/>
      <c r="D39" s="2"/>
      <c r="E39" s="3"/>
      <c r="F39" s="50"/>
      <c r="G39" s="8">
        <v>0</v>
      </c>
      <c r="H39" s="200" t="e">
        <f>VLOOKUP(L:L,#REF!,2,FALSE)</f>
        <v>#REF!</v>
      </c>
      <c r="I39" s="320"/>
      <c r="J39" s="72" t="e">
        <f t="shared" si="0"/>
        <v>#REF!</v>
      </c>
      <c r="K39" s="4"/>
      <c r="L39" s="8"/>
      <c r="M39" s="8"/>
      <c r="N39" s="8"/>
      <c r="O39" s="9"/>
      <c r="P39" s="321">
        <v>18</v>
      </c>
      <c r="Q39" s="210" t="s">
        <v>13</v>
      </c>
      <c r="R39" s="207" t="s">
        <v>654</v>
      </c>
      <c r="S39" s="273">
        <v>180000</v>
      </c>
      <c r="T39" s="210" t="s">
        <v>32</v>
      </c>
      <c r="U39" s="322">
        <v>0</v>
      </c>
      <c r="V39" s="323"/>
      <c r="W39" s="324">
        <f t="shared" si="1"/>
        <v>0</v>
      </c>
      <c r="X39" s="219"/>
      <c r="Y39" s="275">
        <v>12795</v>
      </c>
      <c r="Z39" s="275" t="s">
        <v>655</v>
      </c>
      <c r="AA39" s="325">
        <v>29419090</v>
      </c>
      <c r="AB39" s="326">
        <v>913980431840342</v>
      </c>
      <c r="AC39" s="24" t="e">
        <f t="shared" si="4"/>
        <v>#REF!</v>
      </c>
    </row>
    <row r="40" spans="1:29" ht="42" customHeight="1">
      <c r="A40">
        <v>37</v>
      </c>
      <c r="B40" s="238">
        <v>925</v>
      </c>
      <c r="C40" s="217" t="s">
        <v>13</v>
      </c>
      <c r="D40" s="207" t="s">
        <v>658</v>
      </c>
      <c r="E40" s="209">
        <v>1500</v>
      </c>
      <c r="F40" s="217" t="s">
        <v>657</v>
      </c>
      <c r="G40" s="218">
        <v>0</v>
      </c>
      <c r="H40" s="219" t="e">
        <f>VLOOKUP(L:L,#REF!,2,FALSE)</f>
        <v>#REF!</v>
      </c>
      <c r="I40" s="243"/>
      <c r="J40" s="277" t="e">
        <f t="shared" si="0"/>
        <v>#REF!</v>
      </c>
      <c r="K40" s="228"/>
      <c r="L40" s="313">
        <v>11939</v>
      </c>
      <c r="M40" s="313" t="s">
        <v>656</v>
      </c>
      <c r="N40" s="304">
        <v>29362300</v>
      </c>
      <c r="O40" s="305">
        <v>913950608250223</v>
      </c>
      <c r="P40" s="239">
        <v>950</v>
      </c>
      <c r="Q40" s="217" t="s">
        <v>551</v>
      </c>
      <c r="R40" s="312" t="s">
        <v>377</v>
      </c>
      <c r="S40" s="209">
        <v>1500</v>
      </c>
      <c r="T40" s="307" t="s">
        <v>378</v>
      </c>
      <c r="U40" s="221">
        <v>0</v>
      </c>
      <c r="V40" s="240"/>
      <c r="W40" s="226">
        <f t="shared" si="1"/>
        <v>0</v>
      </c>
      <c r="X40" s="233"/>
      <c r="Y40" s="212">
        <v>12794</v>
      </c>
      <c r="Z40" s="212" t="s">
        <v>659</v>
      </c>
      <c r="AA40" s="308">
        <v>29362300</v>
      </c>
      <c r="AB40" s="306">
        <v>913950608250223</v>
      </c>
      <c r="AC40" s="24" t="e">
        <f t="shared" si="4"/>
        <v>#REF!</v>
      </c>
    </row>
    <row r="41" spans="1:29" ht="42" customHeight="1">
      <c r="A41">
        <v>38</v>
      </c>
      <c r="B41" s="238"/>
      <c r="C41" s="217"/>
      <c r="D41" s="207" t="s">
        <v>188</v>
      </c>
      <c r="E41" s="209">
        <v>7200</v>
      </c>
      <c r="F41" s="210" t="s">
        <v>187</v>
      </c>
      <c r="G41" s="218">
        <v>0</v>
      </c>
      <c r="H41" s="219" t="e">
        <f>VLOOKUP(L:L,#REF!,2,FALSE)</f>
        <v>#REF!</v>
      </c>
      <c r="I41" s="243"/>
      <c r="J41" s="277" t="e">
        <f t="shared" si="0"/>
        <v>#REF!</v>
      </c>
      <c r="K41" s="229"/>
      <c r="L41" s="208"/>
      <c r="M41" s="208"/>
      <c r="N41" s="215">
        <v>33012990</v>
      </c>
      <c r="O41" s="216">
        <v>913950906507642</v>
      </c>
      <c r="P41" s="239">
        <v>83</v>
      </c>
      <c r="Q41" s="217" t="s">
        <v>13</v>
      </c>
      <c r="R41" s="211" t="s">
        <v>188</v>
      </c>
      <c r="S41" s="209">
        <v>7200</v>
      </c>
      <c r="T41" s="210" t="s">
        <v>187</v>
      </c>
      <c r="U41" s="221">
        <v>0</v>
      </c>
      <c r="V41" s="240"/>
      <c r="W41" s="226">
        <f t="shared" si="1"/>
        <v>0</v>
      </c>
      <c r="X41" s="233"/>
      <c r="Y41" s="212">
        <v>12734</v>
      </c>
      <c r="Z41" s="212" t="s">
        <v>660</v>
      </c>
      <c r="AA41" s="213">
        <v>33012990</v>
      </c>
      <c r="AB41" s="214">
        <v>913950906507642</v>
      </c>
      <c r="AC41" s="24" t="e">
        <f t="shared" si="4"/>
        <v>#REF!</v>
      </c>
    </row>
    <row r="42" spans="1:29" ht="42" customHeight="1">
      <c r="A42">
        <v>39</v>
      </c>
      <c r="B42" s="238">
        <v>164</v>
      </c>
      <c r="C42" s="217" t="s">
        <v>13</v>
      </c>
      <c r="D42" s="207" t="s">
        <v>662</v>
      </c>
      <c r="E42" s="209">
        <v>10000</v>
      </c>
      <c r="F42" s="210" t="s">
        <v>606</v>
      </c>
      <c r="G42" s="218">
        <v>0</v>
      </c>
      <c r="H42" s="219" t="e">
        <f>VLOOKUP(L:L,#REF!,2,FALSE)</f>
        <v>#REF!</v>
      </c>
      <c r="I42" s="243"/>
      <c r="J42" s="277" t="e">
        <f t="shared" si="0"/>
        <v>#REF!</v>
      </c>
      <c r="K42" s="228"/>
      <c r="L42" s="208">
        <v>12668</v>
      </c>
      <c r="M42" s="208" t="s">
        <v>661</v>
      </c>
      <c r="N42" s="215">
        <v>29419020</v>
      </c>
      <c r="O42" s="216">
        <v>913961017260351</v>
      </c>
      <c r="P42" s="239">
        <v>169</v>
      </c>
      <c r="Q42" s="217" t="s">
        <v>13</v>
      </c>
      <c r="R42" s="207" t="s">
        <v>664</v>
      </c>
      <c r="S42" s="209">
        <v>10000</v>
      </c>
      <c r="T42" s="210" t="s">
        <v>83</v>
      </c>
      <c r="U42" s="221">
        <v>0</v>
      </c>
      <c r="V42" s="240"/>
      <c r="W42" s="226">
        <f t="shared" si="1"/>
        <v>0</v>
      </c>
      <c r="X42" s="234"/>
      <c r="Y42" s="212">
        <v>12715</v>
      </c>
      <c r="Z42" s="212" t="s">
        <v>663</v>
      </c>
      <c r="AA42" s="314">
        <v>29419020</v>
      </c>
      <c r="AB42" s="315">
        <v>913951202635213</v>
      </c>
      <c r="AC42" s="24" t="e">
        <f t="shared" si="4"/>
        <v>#REF!</v>
      </c>
    </row>
    <row r="43" spans="1:29" ht="42" customHeight="1">
      <c r="A43">
        <v>40</v>
      </c>
      <c r="B43" s="175"/>
      <c r="C43" s="51"/>
      <c r="D43" s="2"/>
      <c r="E43" s="19"/>
      <c r="F43" s="50"/>
      <c r="G43" s="8">
        <v>0</v>
      </c>
      <c r="H43" s="200" t="e">
        <f>VLOOKUP(L:L,#REF!,2,FALSE)</f>
        <v>#REF!</v>
      </c>
      <c r="I43" s="64"/>
      <c r="J43" s="72" t="e">
        <f t="shared" si="0"/>
        <v>#REF!</v>
      </c>
      <c r="K43" s="176"/>
      <c r="L43" s="14"/>
      <c r="M43" s="14"/>
      <c r="N43" s="14"/>
      <c r="O43" s="32"/>
      <c r="P43" s="239">
        <v>700</v>
      </c>
      <c r="Q43" s="217" t="s">
        <v>13</v>
      </c>
      <c r="R43" s="211" t="s">
        <v>665</v>
      </c>
      <c r="S43" s="209">
        <v>1700</v>
      </c>
      <c r="T43" s="210" t="s">
        <v>375</v>
      </c>
      <c r="U43" s="221">
        <v>0</v>
      </c>
      <c r="V43" s="240"/>
      <c r="W43" s="226">
        <f t="shared" si="1"/>
        <v>0</v>
      </c>
      <c r="X43" s="233"/>
      <c r="Y43" s="212">
        <v>12793</v>
      </c>
      <c r="Z43" s="212" t="s">
        <v>666</v>
      </c>
      <c r="AA43" s="213">
        <v>29412000</v>
      </c>
      <c r="AB43" s="214">
        <v>914010302711292</v>
      </c>
      <c r="AC43" s="24" t="e">
        <f t="shared" si="4"/>
        <v>#REF!</v>
      </c>
    </row>
    <row r="44" spans="1:29" ht="42" customHeight="1">
      <c r="A44">
        <v>41</v>
      </c>
      <c r="B44" s="238">
        <v>154</v>
      </c>
      <c r="C44" s="217" t="s">
        <v>13</v>
      </c>
      <c r="D44" s="207" t="s">
        <v>668</v>
      </c>
      <c r="E44" s="209">
        <v>8000</v>
      </c>
      <c r="F44" s="210" t="s">
        <v>70</v>
      </c>
      <c r="G44" s="218">
        <v>0</v>
      </c>
      <c r="H44" s="219" t="e">
        <f>VLOOKUP(L:L,#REF!,2,FALSE)</f>
        <v>#REF!</v>
      </c>
      <c r="I44" s="243"/>
      <c r="J44" s="277" t="e">
        <f t="shared" si="0"/>
        <v>#REF!</v>
      </c>
      <c r="K44" s="228"/>
      <c r="L44" s="208">
        <v>12694</v>
      </c>
      <c r="M44" s="208" t="s">
        <v>667</v>
      </c>
      <c r="N44" s="213">
        <v>29413000</v>
      </c>
      <c r="O44" s="214">
        <v>914020318310968</v>
      </c>
      <c r="P44" s="239">
        <v>260</v>
      </c>
      <c r="Q44" s="217" t="s">
        <v>13</v>
      </c>
      <c r="R44" s="211" t="s">
        <v>197</v>
      </c>
      <c r="S44" s="209">
        <v>4000</v>
      </c>
      <c r="T44" s="210" t="s">
        <v>198</v>
      </c>
      <c r="U44" s="221">
        <v>0</v>
      </c>
      <c r="V44" s="240"/>
      <c r="W44" s="226">
        <f t="shared" si="1"/>
        <v>0</v>
      </c>
      <c r="X44" s="233"/>
      <c r="Y44" s="212">
        <v>12736</v>
      </c>
      <c r="Z44" s="212" t="s">
        <v>669</v>
      </c>
      <c r="AA44" s="213">
        <v>29413000</v>
      </c>
      <c r="AB44" s="214">
        <v>913950810592501</v>
      </c>
      <c r="AC44" s="24" t="e">
        <f t="shared" si="4"/>
        <v>#REF!</v>
      </c>
    </row>
    <row r="45" spans="1:29" ht="42" customHeight="1">
      <c r="A45">
        <v>42</v>
      </c>
      <c r="B45" s="238">
        <v>65.5</v>
      </c>
      <c r="C45" s="217" t="s">
        <v>13</v>
      </c>
      <c r="D45" s="211" t="s">
        <v>671</v>
      </c>
      <c r="E45" s="209">
        <v>10000</v>
      </c>
      <c r="F45" s="210" t="s">
        <v>169</v>
      </c>
      <c r="G45" s="218">
        <v>0</v>
      </c>
      <c r="H45" s="219" t="e">
        <f>VLOOKUP(L:L,#REF!,2,FALSE)</f>
        <v>#REF!</v>
      </c>
      <c r="I45" s="243"/>
      <c r="J45" s="277" t="e">
        <f t="shared" si="0"/>
        <v>#REF!</v>
      </c>
      <c r="K45" s="228"/>
      <c r="L45" s="208">
        <v>12690</v>
      </c>
      <c r="M45" s="208" t="s">
        <v>670</v>
      </c>
      <c r="N45" s="213">
        <v>29419090</v>
      </c>
      <c r="O45" s="214">
        <v>913961017393223</v>
      </c>
      <c r="P45" s="239">
        <v>69</v>
      </c>
      <c r="Q45" s="217" t="s">
        <v>13</v>
      </c>
      <c r="R45" s="211" t="s">
        <v>671</v>
      </c>
      <c r="S45" s="209">
        <v>10000</v>
      </c>
      <c r="T45" s="210" t="s">
        <v>171</v>
      </c>
      <c r="U45" s="221">
        <v>0</v>
      </c>
      <c r="V45" s="240"/>
      <c r="W45" s="226">
        <f t="shared" si="1"/>
        <v>0</v>
      </c>
      <c r="X45" s="233"/>
      <c r="Y45" s="212">
        <v>12731</v>
      </c>
      <c r="Z45" s="212" t="s">
        <v>672</v>
      </c>
      <c r="AA45" s="213">
        <v>29419090</v>
      </c>
      <c r="AB45" s="214">
        <v>913961017393223</v>
      </c>
      <c r="AC45" s="24" t="e">
        <f t="shared" si="4"/>
        <v>#REF!</v>
      </c>
    </row>
    <row r="46" spans="1:29" ht="42" customHeight="1">
      <c r="A46">
        <v>43</v>
      </c>
      <c r="B46" s="238">
        <v>126.2998</v>
      </c>
      <c r="C46" s="217" t="s">
        <v>89</v>
      </c>
      <c r="D46" s="207" t="s">
        <v>242</v>
      </c>
      <c r="E46" s="209">
        <v>1000</v>
      </c>
      <c r="F46" s="210" t="s">
        <v>243</v>
      </c>
      <c r="G46" s="218">
        <v>0</v>
      </c>
      <c r="H46" s="219">
        <v>860</v>
      </c>
      <c r="I46" s="243"/>
      <c r="J46" s="277">
        <f t="shared" si="0"/>
        <v>860000</v>
      </c>
      <c r="K46" s="219"/>
      <c r="L46" s="208">
        <v>11439</v>
      </c>
      <c r="M46" s="208" t="s">
        <v>245</v>
      </c>
      <c r="N46" s="215">
        <v>29336990</v>
      </c>
      <c r="O46" s="216">
        <v>913950913271812</v>
      </c>
      <c r="P46" s="239">
        <v>850</v>
      </c>
      <c r="Q46" s="217" t="s">
        <v>13</v>
      </c>
      <c r="R46" s="211" t="s">
        <v>674</v>
      </c>
      <c r="S46" s="209">
        <v>1000</v>
      </c>
      <c r="T46" s="307" t="s">
        <v>247</v>
      </c>
      <c r="U46" s="221">
        <v>0</v>
      </c>
      <c r="V46" s="240"/>
      <c r="W46" s="226">
        <f t="shared" si="1"/>
        <v>0</v>
      </c>
      <c r="X46" s="233"/>
      <c r="Y46" s="212">
        <v>12765</v>
      </c>
      <c r="Z46" s="212" t="s">
        <v>673</v>
      </c>
      <c r="AA46" s="36"/>
      <c r="AB46" s="310"/>
      <c r="AC46" s="24">
        <f>U46/880</f>
        <v>0</v>
      </c>
    </row>
    <row r="47" spans="1:29" ht="42" customHeight="1">
      <c r="A47">
        <v>44</v>
      </c>
      <c r="B47" s="238">
        <v>13</v>
      </c>
      <c r="C47" s="217" t="s">
        <v>13</v>
      </c>
      <c r="D47" s="207" t="s">
        <v>676</v>
      </c>
      <c r="E47" s="209">
        <v>35000</v>
      </c>
      <c r="F47" s="210" t="s">
        <v>205</v>
      </c>
      <c r="G47" s="218">
        <v>0</v>
      </c>
      <c r="H47" s="219" t="e">
        <f>VLOOKUP(L:L,#REF!,2,FALSE)</f>
        <v>#REF!</v>
      </c>
      <c r="I47" s="243"/>
      <c r="J47" s="277" t="e">
        <f t="shared" si="0"/>
        <v>#REF!</v>
      </c>
      <c r="K47" s="228"/>
      <c r="L47" s="208">
        <v>12696</v>
      </c>
      <c r="M47" s="208" t="s">
        <v>675</v>
      </c>
      <c r="N47" s="215">
        <v>29280090</v>
      </c>
      <c r="O47" s="216">
        <v>913950916401203</v>
      </c>
      <c r="P47" s="239">
        <v>14</v>
      </c>
      <c r="Q47" s="217" t="s">
        <v>13</v>
      </c>
      <c r="R47" s="211" t="s">
        <v>207</v>
      </c>
      <c r="S47" s="209">
        <v>35000</v>
      </c>
      <c r="T47" s="210" t="s">
        <v>66</v>
      </c>
      <c r="U47" s="221">
        <v>0</v>
      </c>
      <c r="V47" s="240"/>
      <c r="W47" s="226">
        <f t="shared" si="1"/>
        <v>0</v>
      </c>
      <c r="X47" s="233"/>
      <c r="Y47" s="212">
        <v>12738</v>
      </c>
      <c r="Z47" s="212" t="s">
        <v>677</v>
      </c>
      <c r="AA47" s="213">
        <v>29280090</v>
      </c>
      <c r="AB47" s="214">
        <v>913950916401203</v>
      </c>
      <c r="AC47" s="24" t="e">
        <f>W47/J47</f>
        <v>#REF!</v>
      </c>
    </row>
    <row r="48" spans="1:29" ht="42" customHeight="1">
      <c r="A48">
        <v>45</v>
      </c>
      <c r="B48" s="238">
        <v>12.6</v>
      </c>
      <c r="C48" s="217" t="s">
        <v>13</v>
      </c>
      <c r="D48" s="207" t="s">
        <v>114</v>
      </c>
      <c r="E48" s="209">
        <v>15180</v>
      </c>
      <c r="F48" s="210" t="s">
        <v>679</v>
      </c>
      <c r="G48" s="218">
        <v>0</v>
      </c>
      <c r="H48" s="219" t="e">
        <f>VLOOKUP(L:L,#REF!,2,FALSE)</f>
        <v>#REF!</v>
      </c>
      <c r="I48" s="243"/>
      <c r="J48" s="277" t="e">
        <f t="shared" si="0"/>
        <v>#REF!</v>
      </c>
      <c r="K48" s="228"/>
      <c r="L48" s="208">
        <v>12676</v>
      </c>
      <c r="M48" s="208" t="s">
        <v>678</v>
      </c>
      <c r="N48" s="215">
        <v>38089429</v>
      </c>
      <c r="O48" s="216">
        <v>913951002592791</v>
      </c>
      <c r="P48" s="239">
        <v>1.7</v>
      </c>
      <c r="Q48" s="217" t="s">
        <v>89</v>
      </c>
      <c r="R48" s="211" t="s">
        <v>681</v>
      </c>
      <c r="S48" s="209">
        <v>15180</v>
      </c>
      <c r="T48" s="210" t="s">
        <v>115</v>
      </c>
      <c r="U48" s="221">
        <v>0</v>
      </c>
      <c r="V48" s="240"/>
      <c r="W48" s="226">
        <f t="shared" si="1"/>
        <v>0</v>
      </c>
      <c r="X48" s="233"/>
      <c r="Y48" s="212">
        <v>12722</v>
      </c>
      <c r="Z48" s="212" t="s">
        <v>680</v>
      </c>
      <c r="AA48" s="213">
        <v>38089429</v>
      </c>
      <c r="AB48" s="214">
        <v>913951002592791</v>
      </c>
      <c r="AC48" s="24" t="e">
        <f>W48/J48</f>
        <v>#REF!</v>
      </c>
    </row>
    <row r="49" spans="1:29" ht="42" customHeight="1">
      <c r="A49">
        <v>46</v>
      </c>
      <c r="B49" s="261">
        <v>297</v>
      </c>
      <c r="C49" s="217" t="s">
        <v>13</v>
      </c>
      <c r="D49" s="207" t="s">
        <v>683</v>
      </c>
      <c r="E49" s="209">
        <v>2000</v>
      </c>
      <c r="F49" s="210" t="s">
        <v>257</v>
      </c>
      <c r="G49" s="218">
        <v>0</v>
      </c>
      <c r="H49" s="219" t="e">
        <f>VLOOKUP(L:L,#REF!,2,FALSE)</f>
        <v>#REF!</v>
      </c>
      <c r="I49" s="243"/>
      <c r="J49" s="277" t="e">
        <f t="shared" si="0"/>
        <v>#REF!</v>
      </c>
      <c r="K49" s="229"/>
      <c r="L49" s="208">
        <v>12620</v>
      </c>
      <c r="M49" s="208" t="s">
        <v>685</v>
      </c>
      <c r="N49" s="215">
        <v>29415090</v>
      </c>
      <c r="O49" s="216">
        <v>913970327591585</v>
      </c>
      <c r="P49" s="239">
        <v>306</v>
      </c>
      <c r="Q49" s="217" t="s">
        <v>13</v>
      </c>
      <c r="R49" s="207" t="s">
        <v>683</v>
      </c>
      <c r="S49" s="209">
        <v>2000</v>
      </c>
      <c r="T49" s="210" t="s">
        <v>257</v>
      </c>
      <c r="U49" s="221">
        <v>0</v>
      </c>
      <c r="V49" s="240"/>
      <c r="W49" s="226">
        <f t="shared" si="1"/>
        <v>0</v>
      </c>
      <c r="X49" s="233"/>
      <c r="Y49" s="212">
        <v>12783</v>
      </c>
      <c r="Z49" s="212" t="s">
        <v>682</v>
      </c>
      <c r="AA49" s="213">
        <v>29415090</v>
      </c>
      <c r="AB49" s="214">
        <v>913970327591585</v>
      </c>
      <c r="AC49" s="24" t="e">
        <f>W49/J49</f>
        <v>#REF!</v>
      </c>
    </row>
    <row r="50" spans="1:29" ht="42" customHeight="1">
      <c r="A50">
        <v>47</v>
      </c>
      <c r="B50" s="262">
        <v>41.8</v>
      </c>
      <c r="C50" s="217" t="s">
        <v>13</v>
      </c>
      <c r="D50" s="211" t="s">
        <v>686</v>
      </c>
      <c r="E50" s="263">
        <v>10000</v>
      </c>
      <c r="F50" s="210" t="s">
        <v>687</v>
      </c>
      <c r="G50" s="218">
        <v>0</v>
      </c>
      <c r="H50" s="218">
        <v>54.8</v>
      </c>
      <c r="I50" s="243"/>
      <c r="J50" s="278"/>
      <c r="K50" s="231"/>
      <c r="L50" s="208">
        <v>12691</v>
      </c>
      <c r="M50" s="208" t="s">
        <v>684</v>
      </c>
      <c r="N50" s="215">
        <v>29335935</v>
      </c>
      <c r="O50" s="216">
        <v>913970728788106</v>
      </c>
      <c r="P50" s="239">
        <v>6</v>
      </c>
      <c r="Q50" s="217" t="s">
        <v>89</v>
      </c>
      <c r="R50" s="207" t="s">
        <v>688</v>
      </c>
      <c r="S50" s="263">
        <v>10000</v>
      </c>
      <c r="T50" s="217" t="s">
        <v>177</v>
      </c>
      <c r="U50" s="221">
        <v>0</v>
      </c>
      <c r="V50" s="240"/>
      <c r="W50" s="226">
        <f t="shared" si="1"/>
        <v>0</v>
      </c>
      <c r="X50" s="233"/>
      <c r="Y50" s="212">
        <v>12732</v>
      </c>
      <c r="Z50" s="212" t="s">
        <v>689</v>
      </c>
      <c r="AA50" s="213">
        <v>29335935</v>
      </c>
      <c r="AB50" s="214">
        <v>913970728788106</v>
      </c>
      <c r="AC50" s="33"/>
    </row>
    <row r="51" spans="1:29" ht="42" customHeight="1">
      <c r="A51">
        <v>48</v>
      </c>
      <c r="B51" s="264">
        <v>111</v>
      </c>
      <c r="C51" s="217" t="s">
        <v>13</v>
      </c>
      <c r="D51" s="211" t="s">
        <v>692</v>
      </c>
      <c r="E51" s="263">
        <v>10000</v>
      </c>
      <c r="F51" s="210" t="s">
        <v>691</v>
      </c>
      <c r="G51" s="218">
        <v>0</v>
      </c>
      <c r="H51" s="218">
        <v>483</v>
      </c>
      <c r="I51" s="243"/>
      <c r="J51" s="278"/>
      <c r="K51" s="232"/>
      <c r="L51" s="208">
        <v>12664</v>
      </c>
      <c r="M51" s="208" t="s">
        <v>690</v>
      </c>
      <c r="N51" s="215">
        <v>29419090</v>
      </c>
      <c r="O51" s="216">
        <v>913951013581404</v>
      </c>
      <c r="P51" s="239">
        <v>111</v>
      </c>
      <c r="Q51" s="210" t="s">
        <v>13</v>
      </c>
      <c r="R51" s="211" t="s">
        <v>58</v>
      </c>
      <c r="S51" s="263">
        <v>10000</v>
      </c>
      <c r="T51" s="210" t="s">
        <v>56</v>
      </c>
      <c r="U51" s="221">
        <v>0</v>
      </c>
      <c r="V51" s="240"/>
      <c r="W51" s="226">
        <f t="shared" si="1"/>
        <v>0</v>
      </c>
      <c r="X51" s="233"/>
      <c r="Y51" s="212">
        <v>12712</v>
      </c>
      <c r="Z51" s="212" t="s">
        <v>693</v>
      </c>
      <c r="AA51" s="213">
        <v>29419090</v>
      </c>
      <c r="AB51" s="214">
        <v>913951013581404</v>
      </c>
      <c r="AC51" s="2"/>
    </row>
    <row r="52" spans="1:29" ht="42" customHeight="1">
      <c r="A52">
        <v>49</v>
      </c>
      <c r="B52" s="262">
        <v>44</v>
      </c>
      <c r="C52" s="217" t="s">
        <v>13</v>
      </c>
      <c r="D52" s="211" t="s">
        <v>695</v>
      </c>
      <c r="E52" s="263">
        <v>72000</v>
      </c>
      <c r="F52" s="210" t="s">
        <v>649</v>
      </c>
      <c r="G52" s="218"/>
      <c r="H52" s="218"/>
      <c r="I52" s="243"/>
      <c r="J52" s="278" t="e">
        <f>SUM(J3:J49)</f>
        <v>#REF!</v>
      </c>
      <c r="K52" s="232"/>
      <c r="L52" s="208">
        <v>12687</v>
      </c>
      <c r="M52" s="208" t="s">
        <v>694</v>
      </c>
      <c r="N52" s="304">
        <v>29419090</v>
      </c>
      <c r="O52" s="305">
        <v>913951012358605</v>
      </c>
      <c r="P52" s="239">
        <v>44</v>
      </c>
      <c r="Q52" s="210" t="s">
        <v>13</v>
      </c>
      <c r="R52" s="207" t="s">
        <v>695</v>
      </c>
      <c r="S52" s="263">
        <v>72000</v>
      </c>
      <c r="T52" s="210" t="s">
        <v>145</v>
      </c>
      <c r="U52" s="222">
        <v>0</v>
      </c>
      <c r="V52" s="240"/>
      <c r="W52" s="226">
        <f t="shared" si="1"/>
        <v>0</v>
      </c>
      <c r="X52" s="234"/>
      <c r="Y52" s="212">
        <v>12728</v>
      </c>
      <c r="Z52" s="212" t="s">
        <v>696</v>
      </c>
      <c r="AA52" s="308">
        <v>29419090</v>
      </c>
      <c r="AB52" s="306">
        <v>913951012358605</v>
      </c>
      <c r="AC52" s="2"/>
    </row>
    <row r="53" spans="1:29" ht="42" customHeight="1">
      <c r="A53">
        <v>50</v>
      </c>
      <c r="B53" s="244"/>
      <c r="C53" s="54"/>
      <c r="D53" s="18"/>
      <c r="E53" s="31"/>
      <c r="F53" s="20"/>
      <c r="G53" s="8"/>
      <c r="H53" s="8"/>
      <c r="I53" s="64"/>
      <c r="J53" s="73"/>
      <c r="K53" s="34"/>
      <c r="L53" s="14"/>
      <c r="M53" s="14"/>
      <c r="N53" s="14"/>
      <c r="O53" s="32"/>
      <c r="P53" s="239">
        <v>38</v>
      </c>
      <c r="Q53" s="210" t="s">
        <v>13</v>
      </c>
      <c r="R53" s="207" t="s">
        <v>351</v>
      </c>
      <c r="S53" s="263">
        <v>16000</v>
      </c>
      <c r="T53" s="210" t="s">
        <v>352</v>
      </c>
      <c r="U53" s="221">
        <v>0</v>
      </c>
      <c r="V53" s="240"/>
      <c r="W53" s="226">
        <f t="shared" si="1"/>
        <v>0</v>
      </c>
      <c r="X53" s="234"/>
      <c r="Y53" s="212">
        <v>12784</v>
      </c>
      <c r="Z53" s="212" t="s">
        <v>697</v>
      </c>
      <c r="AA53" s="213">
        <v>29054990</v>
      </c>
      <c r="AB53" s="214">
        <v>913961009621005</v>
      </c>
      <c r="AC53" s="2"/>
    </row>
    <row r="54" spans="1:29" ht="42" customHeight="1">
      <c r="A54">
        <v>51</v>
      </c>
      <c r="B54" s="244"/>
      <c r="C54" s="54"/>
      <c r="D54" s="2"/>
      <c r="E54" s="19"/>
      <c r="F54" s="10"/>
      <c r="G54" s="8"/>
      <c r="H54" s="8"/>
      <c r="I54" s="64"/>
      <c r="J54" s="72"/>
      <c r="K54" s="4"/>
      <c r="L54" s="14"/>
      <c r="M54" s="14"/>
      <c r="N54" s="14"/>
      <c r="O54" s="32"/>
      <c r="P54" s="239">
        <v>215</v>
      </c>
      <c r="Q54" s="210" t="s">
        <v>13</v>
      </c>
      <c r="R54" s="207" t="s">
        <v>700</v>
      </c>
      <c r="S54" s="263">
        <v>2500</v>
      </c>
      <c r="T54" s="210" t="s">
        <v>699</v>
      </c>
      <c r="U54" s="221">
        <v>0</v>
      </c>
      <c r="V54" s="240"/>
      <c r="W54" s="226">
        <f t="shared" si="1"/>
        <v>0</v>
      </c>
      <c r="X54" s="233"/>
      <c r="Y54" s="212">
        <v>12615</v>
      </c>
      <c r="Z54" s="212" t="s">
        <v>698</v>
      </c>
      <c r="AA54" s="213">
        <v>29419090</v>
      </c>
      <c r="AB54" s="214">
        <v>914011010938322</v>
      </c>
      <c r="AC54" s="2"/>
    </row>
    <row r="55" spans="1:29" ht="42" customHeight="1">
      <c r="A55">
        <v>52</v>
      </c>
      <c r="B55" s="262">
        <v>71.8</v>
      </c>
      <c r="C55" s="265" t="s">
        <v>13</v>
      </c>
      <c r="D55" s="207" t="s">
        <v>40</v>
      </c>
      <c r="E55" s="209">
        <v>6000</v>
      </c>
      <c r="F55" s="266" t="s">
        <v>41</v>
      </c>
      <c r="G55" s="218"/>
      <c r="H55" s="218"/>
      <c r="I55" s="243"/>
      <c r="J55" s="277"/>
      <c r="K55" s="229"/>
      <c r="L55" s="208">
        <v>12217</v>
      </c>
      <c r="M55" s="208" t="s">
        <v>43</v>
      </c>
      <c r="N55" s="215">
        <v>29372290</v>
      </c>
      <c r="O55" s="216">
        <v>913961017061219</v>
      </c>
      <c r="P55" s="267">
        <v>71</v>
      </c>
      <c r="Q55" s="210" t="s">
        <v>13</v>
      </c>
      <c r="R55" s="211" t="s">
        <v>44</v>
      </c>
      <c r="S55" s="263">
        <v>6000</v>
      </c>
      <c r="T55" s="210" t="s">
        <v>41</v>
      </c>
      <c r="U55" s="221">
        <v>0</v>
      </c>
      <c r="V55" s="240"/>
      <c r="W55" s="226">
        <f t="shared" si="1"/>
        <v>0</v>
      </c>
      <c r="X55" s="233"/>
      <c r="Y55" s="212">
        <v>12254</v>
      </c>
      <c r="Z55" s="212" t="s">
        <v>47</v>
      </c>
      <c r="AA55" s="213">
        <v>29372290</v>
      </c>
      <c r="AB55" s="214">
        <v>913961017061219</v>
      </c>
      <c r="AC55" s="2"/>
    </row>
    <row r="56" spans="1:29" ht="42" customHeight="1">
      <c r="A56">
        <v>53</v>
      </c>
      <c r="B56" s="262">
        <v>590</v>
      </c>
      <c r="C56" s="265" t="s">
        <v>13</v>
      </c>
      <c r="D56" s="207" t="s">
        <v>109</v>
      </c>
      <c r="E56" s="209">
        <v>10000</v>
      </c>
      <c r="F56" s="266" t="s">
        <v>110</v>
      </c>
      <c r="G56" s="218"/>
      <c r="H56" s="218"/>
      <c r="I56" s="243"/>
      <c r="J56" s="277"/>
      <c r="K56" s="229"/>
      <c r="L56" s="208">
        <v>12674</v>
      </c>
      <c r="M56" s="208" t="s">
        <v>703</v>
      </c>
      <c r="N56" s="215">
        <v>29419090</v>
      </c>
      <c r="O56" s="216">
        <v>913950527039144</v>
      </c>
      <c r="P56" s="267">
        <v>598</v>
      </c>
      <c r="Q56" s="210" t="s">
        <v>13</v>
      </c>
      <c r="R56" s="211" t="s">
        <v>702</v>
      </c>
      <c r="S56" s="263">
        <v>10000</v>
      </c>
      <c r="T56" s="210" t="s">
        <v>112</v>
      </c>
      <c r="U56" s="221">
        <v>0</v>
      </c>
      <c r="V56" s="240"/>
      <c r="W56" s="226">
        <f t="shared" si="1"/>
        <v>0</v>
      </c>
      <c r="X56" s="233"/>
      <c r="Y56" s="212">
        <v>12720</v>
      </c>
      <c r="Z56" s="212" t="s">
        <v>701</v>
      </c>
      <c r="AA56" s="213">
        <v>29419090</v>
      </c>
      <c r="AB56" s="214">
        <v>913950527039144</v>
      </c>
      <c r="AC56" s="2"/>
    </row>
    <row r="57" spans="1:29" ht="42" customHeight="1">
      <c r="A57">
        <v>54</v>
      </c>
      <c r="B57" s="262">
        <v>21.4</v>
      </c>
      <c r="C57" s="265" t="s">
        <v>13</v>
      </c>
      <c r="D57" s="207" t="s">
        <v>704</v>
      </c>
      <c r="E57" s="209">
        <v>5000</v>
      </c>
      <c r="F57" s="266" t="s">
        <v>706</v>
      </c>
      <c r="G57" s="218"/>
      <c r="H57" s="218"/>
      <c r="I57" s="243"/>
      <c r="J57" s="277"/>
      <c r="K57" s="229"/>
      <c r="L57" s="208">
        <v>12698</v>
      </c>
      <c r="M57" s="208" t="s">
        <v>705</v>
      </c>
      <c r="N57" s="215">
        <v>29182900</v>
      </c>
      <c r="O57" s="216">
        <v>913980721153460</v>
      </c>
      <c r="P57" s="267">
        <v>28</v>
      </c>
      <c r="Q57" s="210" t="s">
        <v>13</v>
      </c>
      <c r="R57" s="211" t="s">
        <v>220</v>
      </c>
      <c r="S57" s="263">
        <v>5000</v>
      </c>
      <c r="T57" s="210" t="s">
        <v>218</v>
      </c>
      <c r="U57" s="221">
        <v>0</v>
      </c>
      <c r="V57" s="240"/>
      <c r="W57" s="226">
        <f t="shared" si="1"/>
        <v>0</v>
      </c>
      <c r="X57" s="233"/>
      <c r="Y57" s="212">
        <v>12741</v>
      </c>
      <c r="Z57" s="212" t="s">
        <v>707</v>
      </c>
      <c r="AA57" s="213">
        <v>29182900</v>
      </c>
      <c r="AB57" s="214">
        <v>913980721153460</v>
      </c>
      <c r="AC57" s="2"/>
    </row>
    <row r="58" spans="1:29" ht="42" customHeight="1">
      <c r="A58">
        <v>55</v>
      </c>
      <c r="B58" s="244"/>
      <c r="C58" s="54"/>
      <c r="D58" s="2"/>
      <c r="E58" s="19"/>
      <c r="F58" s="10"/>
      <c r="G58" s="8"/>
      <c r="H58" s="8"/>
      <c r="I58" s="64"/>
      <c r="J58" s="72"/>
      <c r="K58" s="4"/>
      <c r="L58" s="14"/>
      <c r="M58" s="14"/>
      <c r="N58" s="14"/>
      <c r="O58" s="32"/>
      <c r="P58" s="239">
        <v>667</v>
      </c>
      <c r="Q58" s="210" t="s">
        <v>13</v>
      </c>
      <c r="R58" s="211" t="s">
        <v>710</v>
      </c>
      <c r="S58" s="263">
        <v>1000</v>
      </c>
      <c r="T58" s="217" t="s">
        <v>709</v>
      </c>
      <c r="U58" s="221">
        <v>0</v>
      </c>
      <c r="V58" s="240"/>
      <c r="W58" s="226">
        <f t="shared" si="1"/>
        <v>0</v>
      </c>
      <c r="X58" s="233"/>
      <c r="Y58" s="212">
        <v>11824</v>
      </c>
      <c r="Z58" s="212" t="s">
        <v>708</v>
      </c>
      <c r="AA58" s="213">
        <v>29183090</v>
      </c>
      <c r="AB58" s="214">
        <v>913950610001400</v>
      </c>
      <c r="AC58" s="2"/>
    </row>
    <row r="59" spans="1:29" ht="42" customHeight="1">
      <c r="A59">
        <v>56</v>
      </c>
      <c r="B59" s="262"/>
      <c r="C59" s="265"/>
      <c r="D59" s="207" t="s">
        <v>712</v>
      </c>
      <c r="E59" s="209">
        <v>1500</v>
      </c>
      <c r="F59" s="266" t="s">
        <v>32</v>
      </c>
      <c r="G59" s="218"/>
      <c r="H59" s="218"/>
      <c r="I59" s="243"/>
      <c r="J59" s="277"/>
      <c r="K59" s="229"/>
      <c r="L59" s="208"/>
      <c r="M59" s="208"/>
      <c r="N59" s="215">
        <v>29411090</v>
      </c>
      <c r="O59" s="216">
        <v>913950504599123</v>
      </c>
      <c r="P59" s="267">
        <v>474</v>
      </c>
      <c r="Q59" s="210" t="s">
        <v>13</v>
      </c>
      <c r="R59" s="211" t="s">
        <v>712</v>
      </c>
      <c r="S59" s="209">
        <v>1500</v>
      </c>
      <c r="T59" s="210" t="s">
        <v>32</v>
      </c>
      <c r="U59" s="221">
        <v>0</v>
      </c>
      <c r="V59" s="240"/>
      <c r="W59" s="226">
        <f t="shared" si="1"/>
        <v>0</v>
      </c>
      <c r="X59" s="234"/>
      <c r="Y59" s="212">
        <v>12709</v>
      </c>
      <c r="Z59" s="212" t="s">
        <v>711</v>
      </c>
      <c r="AA59" s="213">
        <v>29411090</v>
      </c>
      <c r="AB59" s="214">
        <v>913950504599123</v>
      </c>
      <c r="AC59" s="10"/>
    </row>
    <row r="60" spans="1:29" ht="42" customHeight="1">
      <c r="A60">
        <v>57</v>
      </c>
      <c r="B60" s="262">
        <v>36.4</v>
      </c>
      <c r="C60" s="265" t="s">
        <v>13</v>
      </c>
      <c r="D60" s="207" t="s">
        <v>714</v>
      </c>
      <c r="E60" s="209">
        <v>20000</v>
      </c>
      <c r="F60" s="266" t="s">
        <v>649</v>
      </c>
      <c r="G60" s="218"/>
      <c r="H60" s="218"/>
      <c r="I60" s="243"/>
      <c r="J60" s="277"/>
      <c r="K60" s="229"/>
      <c r="L60" s="208">
        <v>12685</v>
      </c>
      <c r="M60" s="208" t="s">
        <v>713</v>
      </c>
      <c r="N60" s="304">
        <v>29412000</v>
      </c>
      <c r="O60" s="305">
        <v>913950705454928</v>
      </c>
      <c r="P60" s="239">
        <v>35</v>
      </c>
      <c r="Q60" s="210" t="s">
        <v>13</v>
      </c>
      <c r="R60" s="211" t="s">
        <v>716</v>
      </c>
      <c r="S60" s="263">
        <v>20000</v>
      </c>
      <c r="T60" s="210" t="s">
        <v>145</v>
      </c>
      <c r="U60" s="221">
        <v>0</v>
      </c>
      <c r="V60" s="240"/>
      <c r="W60" s="226">
        <f t="shared" si="1"/>
        <v>0</v>
      </c>
      <c r="X60" s="233"/>
      <c r="Y60" s="212">
        <v>12727</v>
      </c>
      <c r="Z60" s="212" t="s">
        <v>715</v>
      </c>
      <c r="AA60" s="308">
        <v>29412000</v>
      </c>
      <c r="AB60" s="306">
        <v>913950705454928</v>
      </c>
      <c r="AC60" s="10"/>
    </row>
    <row r="61" spans="1:29" ht="42" customHeight="1">
      <c r="A61">
        <v>58</v>
      </c>
      <c r="B61" s="262">
        <v>232</v>
      </c>
      <c r="C61" s="265" t="s">
        <v>13</v>
      </c>
      <c r="D61" s="207" t="s">
        <v>718</v>
      </c>
      <c r="E61" s="209">
        <v>2500</v>
      </c>
      <c r="F61" s="266" t="s">
        <v>250</v>
      </c>
      <c r="G61" s="218"/>
      <c r="H61" s="218"/>
      <c r="I61" s="243"/>
      <c r="J61" s="277"/>
      <c r="K61" s="229"/>
      <c r="L61" s="208">
        <v>12704</v>
      </c>
      <c r="M61" s="208" t="s">
        <v>717</v>
      </c>
      <c r="N61" s="215">
        <v>29415090</v>
      </c>
      <c r="O61" s="216">
        <v>913980308455906</v>
      </c>
      <c r="P61" s="239">
        <v>230</v>
      </c>
      <c r="Q61" s="210" t="s">
        <v>13</v>
      </c>
      <c r="R61" s="211" t="s">
        <v>718</v>
      </c>
      <c r="S61" s="209">
        <v>2500</v>
      </c>
      <c r="T61" s="210" t="s">
        <v>257</v>
      </c>
      <c r="U61" s="221">
        <v>0</v>
      </c>
      <c r="V61" s="240"/>
      <c r="W61" s="226">
        <f t="shared" si="1"/>
        <v>0</v>
      </c>
      <c r="X61" s="233"/>
      <c r="Y61" s="212">
        <v>12747</v>
      </c>
      <c r="Z61" s="212" t="s">
        <v>719</v>
      </c>
      <c r="AA61" s="213">
        <v>29415090</v>
      </c>
      <c r="AB61" s="214">
        <v>913980308455906</v>
      </c>
      <c r="AC61" s="10"/>
    </row>
    <row r="62" spans="1:29" ht="42" customHeight="1">
      <c r="A62">
        <v>59</v>
      </c>
      <c r="B62" s="244"/>
      <c r="C62" s="54"/>
      <c r="D62" s="2"/>
      <c r="E62" s="19"/>
      <c r="F62" s="10"/>
      <c r="G62" s="8"/>
      <c r="H62" s="8"/>
      <c r="I62" s="64"/>
      <c r="J62" s="72"/>
      <c r="K62" s="4"/>
      <c r="L62" s="14"/>
      <c r="M62" s="14"/>
      <c r="N62" s="14"/>
      <c r="O62" s="32"/>
      <c r="P62" s="239">
        <v>9</v>
      </c>
      <c r="Q62" s="210" t="s">
        <v>13</v>
      </c>
      <c r="R62" s="211" t="s">
        <v>722</v>
      </c>
      <c r="S62" s="263">
        <v>15000</v>
      </c>
      <c r="T62" s="210" t="s">
        <v>721</v>
      </c>
      <c r="U62" s="221">
        <v>0</v>
      </c>
      <c r="V62" s="240"/>
      <c r="W62" s="226">
        <f t="shared" si="1"/>
        <v>0</v>
      </c>
      <c r="X62" s="234"/>
      <c r="Y62" s="212">
        <v>12796</v>
      </c>
      <c r="Z62" s="212" t="s">
        <v>720</v>
      </c>
      <c r="AA62" s="213">
        <v>29155000</v>
      </c>
      <c r="AB62" s="214">
        <v>913980426316262</v>
      </c>
      <c r="AC62" s="10"/>
    </row>
    <row r="63" spans="1:29" ht="42" customHeight="1">
      <c r="A63">
        <v>60</v>
      </c>
      <c r="B63" s="262">
        <v>169.5</v>
      </c>
      <c r="C63" s="265" t="s">
        <v>13</v>
      </c>
      <c r="D63" s="207" t="s">
        <v>724</v>
      </c>
      <c r="E63" s="209">
        <v>2000</v>
      </c>
      <c r="F63" s="266" t="s">
        <v>128</v>
      </c>
      <c r="G63" s="218"/>
      <c r="H63" s="218"/>
      <c r="I63" s="243"/>
      <c r="J63" s="277"/>
      <c r="K63" s="229"/>
      <c r="L63" s="208">
        <v>12762</v>
      </c>
      <c r="M63" s="208" t="s">
        <v>723</v>
      </c>
      <c r="N63" s="215">
        <v>29224990</v>
      </c>
      <c r="O63" s="216">
        <v>914010606044328</v>
      </c>
      <c r="P63" s="239">
        <v>162</v>
      </c>
      <c r="Q63" s="210" t="s">
        <v>13</v>
      </c>
      <c r="R63" s="211" t="s">
        <v>130</v>
      </c>
      <c r="S63" s="209">
        <v>2000</v>
      </c>
      <c r="T63" s="210" t="s">
        <v>131</v>
      </c>
      <c r="U63" s="221">
        <v>0</v>
      </c>
      <c r="V63" s="240"/>
      <c r="W63" s="226">
        <f t="shared" si="1"/>
        <v>0</v>
      </c>
      <c r="X63" s="233"/>
      <c r="Y63" s="212">
        <v>12800</v>
      </c>
      <c r="Z63" s="212" t="s">
        <v>725</v>
      </c>
      <c r="AA63" s="213">
        <v>29224990</v>
      </c>
      <c r="AB63" s="214">
        <v>914010606044328</v>
      </c>
      <c r="AC63" s="10"/>
    </row>
    <row r="64" spans="1:29" ht="42" customHeight="1">
      <c r="A64">
        <v>61</v>
      </c>
      <c r="B64" s="262"/>
      <c r="C64" s="265"/>
      <c r="D64" s="207"/>
      <c r="E64" s="209"/>
      <c r="F64" s="266"/>
      <c r="G64" s="218"/>
      <c r="H64" s="218"/>
      <c r="I64" s="243"/>
      <c r="J64" s="277"/>
      <c r="K64" s="229"/>
      <c r="L64" s="208"/>
      <c r="M64" s="208"/>
      <c r="N64" s="215"/>
      <c r="O64" s="216"/>
      <c r="P64" s="239">
        <v>213</v>
      </c>
      <c r="Q64" s="210" t="s">
        <v>13</v>
      </c>
      <c r="R64" s="211" t="s">
        <v>367</v>
      </c>
      <c r="S64" s="209">
        <v>3000</v>
      </c>
      <c r="T64" s="210" t="s">
        <v>368</v>
      </c>
      <c r="U64" s="221">
        <v>0</v>
      </c>
      <c r="V64" s="240"/>
      <c r="W64" s="226">
        <f t="shared" si="1"/>
        <v>0</v>
      </c>
      <c r="X64" s="233"/>
      <c r="Y64" s="212">
        <v>12790</v>
      </c>
      <c r="Z64" s="212" t="s">
        <v>726</v>
      </c>
      <c r="AA64" s="213">
        <v>29419090</v>
      </c>
      <c r="AB64" s="214">
        <v>913951214047173</v>
      </c>
      <c r="AC64" s="10"/>
    </row>
    <row r="65" spans="1:29" ht="42" customHeight="1">
      <c r="A65">
        <v>62</v>
      </c>
      <c r="B65" s="262">
        <v>139</v>
      </c>
      <c r="C65" s="265" t="s">
        <v>13</v>
      </c>
      <c r="D65" s="207" t="s">
        <v>729</v>
      </c>
      <c r="E65" s="209">
        <v>5000</v>
      </c>
      <c r="F65" s="266" t="s">
        <v>728</v>
      </c>
      <c r="G65" s="218"/>
      <c r="H65" s="218"/>
      <c r="I65" s="243"/>
      <c r="J65" s="277"/>
      <c r="K65" s="229"/>
      <c r="L65" s="208">
        <v>12700</v>
      </c>
      <c r="M65" s="208" t="s">
        <v>727</v>
      </c>
      <c r="N65" s="215">
        <v>29419090</v>
      </c>
      <c r="O65" s="216">
        <v>913950806331851</v>
      </c>
      <c r="P65" s="239">
        <v>142</v>
      </c>
      <c r="Q65" s="210" t="s">
        <v>13</v>
      </c>
      <c r="R65" s="211" t="s">
        <v>231</v>
      </c>
      <c r="S65" s="209">
        <v>5000</v>
      </c>
      <c r="T65" s="210" t="s">
        <v>232</v>
      </c>
      <c r="U65" s="221">
        <v>0</v>
      </c>
      <c r="V65" s="240"/>
      <c r="W65" s="226">
        <f t="shared" si="1"/>
        <v>0</v>
      </c>
      <c r="X65" s="233"/>
      <c r="Y65" s="212">
        <v>12743</v>
      </c>
      <c r="Z65" s="212" t="s">
        <v>730</v>
      </c>
      <c r="AA65" s="213">
        <v>29419090</v>
      </c>
      <c r="AB65" s="214">
        <v>913950806331851</v>
      </c>
      <c r="AC65" s="10"/>
    </row>
    <row r="66" spans="1:29" ht="42" customHeight="1">
      <c r="A66">
        <v>63</v>
      </c>
      <c r="B66" s="244"/>
      <c r="C66" s="54"/>
      <c r="D66" s="2"/>
      <c r="E66" s="19"/>
      <c r="F66" s="10"/>
      <c r="G66" s="8"/>
      <c r="H66" s="8"/>
      <c r="I66" s="64"/>
      <c r="J66" s="72"/>
      <c r="K66" s="4"/>
      <c r="L66" s="14"/>
      <c r="M66" s="14"/>
      <c r="N66" s="14"/>
      <c r="O66" s="32"/>
      <c r="P66" s="239">
        <v>935</v>
      </c>
      <c r="Q66" s="217" t="s">
        <v>551</v>
      </c>
      <c r="R66" s="211" t="s">
        <v>733</v>
      </c>
      <c r="S66" s="209">
        <v>350</v>
      </c>
      <c r="T66" s="210" t="s">
        <v>732</v>
      </c>
      <c r="U66" s="221">
        <v>0</v>
      </c>
      <c r="V66" s="240"/>
      <c r="W66" s="226">
        <f t="shared" si="1"/>
        <v>0</v>
      </c>
      <c r="X66" s="233"/>
      <c r="Y66" s="212">
        <v>12579</v>
      </c>
      <c r="Z66" s="212" t="s">
        <v>731</v>
      </c>
      <c r="AA66" s="213">
        <v>29329990</v>
      </c>
      <c r="AB66" s="214">
        <v>913960930424228</v>
      </c>
      <c r="AC66" s="10"/>
    </row>
    <row r="67" spans="1:29" ht="42" customHeight="1">
      <c r="A67">
        <v>64</v>
      </c>
      <c r="B67" s="244"/>
      <c r="C67" s="54"/>
      <c r="D67" s="2"/>
      <c r="E67" s="19"/>
      <c r="F67" s="10"/>
      <c r="G67" s="8"/>
      <c r="H67" s="8"/>
      <c r="I67" s="64"/>
      <c r="J67" s="72"/>
      <c r="K67" s="4"/>
      <c r="L67" s="14"/>
      <c r="M67" s="14"/>
      <c r="N67" s="14"/>
      <c r="O67" s="32"/>
      <c r="P67" s="268">
        <v>5.8</v>
      </c>
      <c r="Q67" s="217" t="s">
        <v>13</v>
      </c>
      <c r="R67" s="207" t="s">
        <v>736</v>
      </c>
      <c r="S67" s="209">
        <v>15000</v>
      </c>
      <c r="T67" s="217" t="s">
        <v>735</v>
      </c>
      <c r="U67" s="221">
        <v>0</v>
      </c>
      <c r="V67" s="240"/>
      <c r="W67" s="226">
        <f t="shared" ref="W67:W94" si="5">S67*U67</f>
        <v>0</v>
      </c>
      <c r="X67" s="233"/>
      <c r="Y67" s="212">
        <v>12770</v>
      </c>
      <c r="Z67" s="212" t="s">
        <v>734</v>
      </c>
      <c r="AA67" s="213">
        <v>29231010</v>
      </c>
      <c r="AB67" s="214">
        <v>913951201392158</v>
      </c>
      <c r="AC67" s="10"/>
    </row>
    <row r="68" spans="1:29" ht="42" customHeight="1">
      <c r="A68">
        <v>65</v>
      </c>
      <c r="B68" s="244"/>
      <c r="C68" s="54"/>
      <c r="D68" s="2"/>
      <c r="E68" s="19"/>
      <c r="F68" s="10"/>
      <c r="G68" s="8"/>
      <c r="H68" s="8"/>
      <c r="I68" s="64"/>
      <c r="J68" s="72"/>
      <c r="K68" s="4"/>
      <c r="L68" s="14"/>
      <c r="M68" s="14"/>
      <c r="N68" s="14"/>
      <c r="O68" s="32"/>
      <c r="P68" s="239">
        <v>18</v>
      </c>
      <c r="Q68" s="217" t="s">
        <v>13</v>
      </c>
      <c r="R68" s="207" t="s">
        <v>337</v>
      </c>
      <c r="S68" s="209">
        <v>15120</v>
      </c>
      <c r="T68" s="210" t="s">
        <v>338</v>
      </c>
      <c r="U68" s="221">
        <v>0</v>
      </c>
      <c r="V68" s="240"/>
      <c r="W68" s="226">
        <f t="shared" si="5"/>
        <v>0</v>
      </c>
      <c r="X68" s="233"/>
      <c r="Y68" s="212">
        <v>12779</v>
      </c>
      <c r="Z68" s="212" t="s">
        <v>737</v>
      </c>
      <c r="AA68" s="213">
        <v>29062100</v>
      </c>
      <c r="AB68" s="214">
        <v>914020928128175</v>
      </c>
      <c r="AC68" s="10"/>
    </row>
    <row r="69" spans="1:29" ht="42" customHeight="1">
      <c r="A69">
        <v>66</v>
      </c>
      <c r="B69" s="262">
        <v>166</v>
      </c>
      <c r="C69" s="265" t="s">
        <v>13</v>
      </c>
      <c r="D69" s="207" t="s">
        <v>80</v>
      </c>
      <c r="E69" s="209">
        <v>5000</v>
      </c>
      <c r="F69" s="266" t="s">
        <v>739</v>
      </c>
      <c r="G69" s="218"/>
      <c r="H69" s="218"/>
      <c r="I69" s="243"/>
      <c r="J69" s="277"/>
      <c r="K69" s="229"/>
      <c r="L69" s="208">
        <v>12922</v>
      </c>
      <c r="M69" s="208" t="s">
        <v>738</v>
      </c>
      <c r="N69" s="215">
        <v>29419090</v>
      </c>
      <c r="O69" s="216">
        <v>913950811577000</v>
      </c>
      <c r="P69" s="239">
        <v>180</v>
      </c>
      <c r="Q69" s="217" t="s">
        <v>13</v>
      </c>
      <c r="R69" s="211" t="s">
        <v>741</v>
      </c>
      <c r="S69" s="209">
        <v>5000</v>
      </c>
      <c r="T69" s="210" t="s">
        <v>83</v>
      </c>
      <c r="U69" s="221">
        <v>0</v>
      </c>
      <c r="V69" s="240"/>
      <c r="W69" s="226">
        <f t="shared" si="5"/>
        <v>0</v>
      </c>
      <c r="X69" s="234"/>
      <c r="Y69" s="212">
        <v>12918</v>
      </c>
      <c r="Z69" s="212" t="s">
        <v>740</v>
      </c>
      <c r="AA69" s="213">
        <v>29419090</v>
      </c>
      <c r="AB69" s="214">
        <v>913950811577000</v>
      </c>
      <c r="AC69" s="10"/>
    </row>
    <row r="70" spans="1:29" ht="42" customHeight="1">
      <c r="A70">
        <v>67</v>
      </c>
      <c r="B70" s="244"/>
      <c r="C70" s="54"/>
      <c r="D70" s="2"/>
      <c r="E70" s="19"/>
      <c r="F70" s="10"/>
      <c r="G70" s="8"/>
      <c r="H70" s="8"/>
      <c r="I70" s="64"/>
      <c r="J70" s="72"/>
      <c r="K70" s="4"/>
      <c r="L70" s="14"/>
      <c r="M70" s="14"/>
      <c r="N70" s="14"/>
      <c r="O70" s="32"/>
      <c r="P70" s="239">
        <v>27</v>
      </c>
      <c r="Q70" s="217" t="s">
        <v>13</v>
      </c>
      <c r="R70" s="207" t="s">
        <v>744</v>
      </c>
      <c r="S70" s="209">
        <v>1000</v>
      </c>
      <c r="T70" s="210" t="s">
        <v>743</v>
      </c>
      <c r="U70" s="221">
        <v>0</v>
      </c>
      <c r="V70" s="240"/>
      <c r="W70" s="226">
        <f t="shared" si="5"/>
        <v>0</v>
      </c>
      <c r="X70" s="233"/>
      <c r="Y70" s="212">
        <v>12016</v>
      </c>
      <c r="Z70" s="212" t="s">
        <v>742</v>
      </c>
      <c r="AA70" s="213">
        <v>29420090</v>
      </c>
      <c r="AB70" s="214">
        <v>914000721677223</v>
      </c>
      <c r="AC70" s="10"/>
    </row>
    <row r="71" spans="1:29" ht="42" customHeight="1">
      <c r="A71">
        <v>68</v>
      </c>
      <c r="B71" s="262">
        <v>580</v>
      </c>
      <c r="C71" s="265" t="s">
        <v>13</v>
      </c>
      <c r="D71" s="207" t="s">
        <v>746</v>
      </c>
      <c r="E71" s="209">
        <v>2000</v>
      </c>
      <c r="F71" s="266" t="s">
        <v>223</v>
      </c>
      <c r="G71" s="218"/>
      <c r="H71" s="218"/>
      <c r="I71" s="243"/>
      <c r="J71" s="277"/>
      <c r="K71" s="229"/>
      <c r="L71" s="208">
        <v>12699</v>
      </c>
      <c r="M71" s="208" t="s">
        <v>745</v>
      </c>
      <c r="N71" s="215">
        <v>29412000</v>
      </c>
      <c r="O71" s="216">
        <v>913950901551280</v>
      </c>
      <c r="P71" s="239">
        <v>620</v>
      </c>
      <c r="Q71" s="217" t="s">
        <v>13</v>
      </c>
      <c r="R71" s="207" t="s">
        <v>748</v>
      </c>
      <c r="S71" s="209">
        <v>2000</v>
      </c>
      <c r="T71" s="210" t="s">
        <v>225</v>
      </c>
      <c r="U71" s="221">
        <v>0</v>
      </c>
      <c r="V71" s="240"/>
      <c r="W71" s="226">
        <f t="shared" si="5"/>
        <v>0</v>
      </c>
      <c r="X71" s="233"/>
      <c r="Y71" s="212">
        <v>12742</v>
      </c>
      <c r="Z71" s="212" t="s">
        <v>747</v>
      </c>
      <c r="AA71" s="213">
        <v>29412000</v>
      </c>
      <c r="AB71" s="214">
        <v>913950901551280</v>
      </c>
      <c r="AC71" s="10"/>
    </row>
    <row r="72" spans="1:29" ht="42" customHeight="1">
      <c r="B72" s="262">
        <v>239.5</v>
      </c>
      <c r="C72" s="265" t="s">
        <v>13</v>
      </c>
      <c r="D72" s="207" t="s">
        <v>751</v>
      </c>
      <c r="E72" s="209">
        <v>1000</v>
      </c>
      <c r="F72" s="266" t="s">
        <v>750</v>
      </c>
      <c r="G72" s="218"/>
      <c r="H72" s="218"/>
      <c r="I72" s="243"/>
      <c r="J72" s="277"/>
      <c r="K72" s="229"/>
      <c r="L72" s="208">
        <v>12399</v>
      </c>
      <c r="M72" s="208" t="s">
        <v>749</v>
      </c>
      <c r="N72" s="309"/>
      <c r="O72" s="310"/>
      <c r="P72" s="157"/>
      <c r="Q72" s="51"/>
      <c r="R72" s="2"/>
      <c r="S72" s="19"/>
      <c r="T72" s="50"/>
      <c r="U72" s="149">
        <v>0</v>
      </c>
      <c r="V72" s="69"/>
      <c r="W72" s="74">
        <f t="shared" si="5"/>
        <v>0</v>
      </c>
      <c r="X72" s="20"/>
      <c r="Y72" s="21"/>
      <c r="Z72" s="21"/>
      <c r="AA72" s="21"/>
      <c r="AB72" s="164"/>
      <c r="AC72" s="10"/>
    </row>
    <row r="73" spans="1:29" ht="42" customHeight="1">
      <c r="A73">
        <v>69</v>
      </c>
      <c r="B73" s="244"/>
      <c r="C73" s="54"/>
      <c r="D73" s="2"/>
      <c r="E73" s="19"/>
      <c r="F73" s="10"/>
      <c r="G73" s="8"/>
      <c r="H73" s="8"/>
      <c r="I73" s="64"/>
      <c r="J73" s="72"/>
      <c r="K73" s="4"/>
      <c r="L73" s="14"/>
      <c r="M73" s="14"/>
      <c r="N73" s="14"/>
      <c r="O73" s="32"/>
      <c r="P73" s="239">
        <v>24</v>
      </c>
      <c r="Q73" s="217" t="s">
        <v>13</v>
      </c>
      <c r="R73" s="207" t="s">
        <v>310</v>
      </c>
      <c r="S73" s="209">
        <v>1500</v>
      </c>
      <c r="T73" s="210" t="s">
        <v>311</v>
      </c>
      <c r="U73" s="221">
        <v>0</v>
      </c>
      <c r="V73" s="240"/>
      <c r="W73" s="226">
        <f t="shared" si="5"/>
        <v>0</v>
      </c>
      <c r="X73" s="234"/>
      <c r="Y73" s="212">
        <v>12769</v>
      </c>
      <c r="Z73" s="212" t="s">
        <v>752</v>
      </c>
      <c r="AA73" s="213">
        <v>29362990</v>
      </c>
      <c r="AB73" s="214">
        <v>913950811772021</v>
      </c>
      <c r="AC73" s="10"/>
    </row>
    <row r="74" spans="1:29" ht="42" customHeight="1">
      <c r="A74">
        <v>70</v>
      </c>
      <c r="B74" s="244"/>
      <c r="C74" s="54"/>
      <c r="D74" s="2"/>
      <c r="E74" s="19"/>
      <c r="F74" s="10"/>
      <c r="G74" s="8"/>
      <c r="H74" s="8"/>
      <c r="I74" s="64"/>
      <c r="J74" s="72"/>
      <c r="K74" s="4"/>
      <c r="L74" s="14"/>
      <c r="M74" s="14"/>
      <c r="N74" s="14"/>
      <c r="O74" s="32"/>
      <c r="P74" s="239">
        <v>1195</v>
      </c>
      <c r="Q74" s="217" t="s">
        <v>551</v>
      </c>
      <c r="R74" s="207" t="s">
        <v>755</v>
      </c>
      <c r="S74" s="209">
        <v>30</v>
      </c>
      <c r="T74" s="210" t="s">
        <v>754</v>
      </c>
      <c r="U74" s="221">
        <v>0</v>
      </c>
      <c r="V74" s="240"/>
      <c r="W74" s="226">
        <f t="shared" si="5"/>
        <v>0</v>
      </c>
      <c r="X74" s="233"/>
      <c r="Y74" s="212">
        <v>12317</v>
      </c>
      <c r="Z74" s="212" t="s">
        <v>753</v>
      </c>
      <c r="AA74" s="213">
        <v>29362990</v>
      </c>
      <c r="AB74" s="214">
        <v>913981009522019</v>
      </c>
      <c r="AC74" s="10"/>
    </row>
    <row r="75" spans="1:29" ht="42" customHeight="1">
      <c r="A75">
        <v>71</v>
      </c>
      <c r="B75" s="175"/>
      <c r="C75" s="51"/>
      <c r="D75" s="2"/>
      <c r="E75" s="19"/>
      <c r="F75" s="2"/>
      <c r="G75" s="8"/>
      <c r="H75" s="8"/>
      <c r="I75" s="64"/>
      <c r="J75" s="72"/>
      <c r="K75" s="4"/>
      <c r="L75" s="14"/>
      <c r="M75" s="14"/>
      <c r="N75" s="14"/>
      <c r="O75" s="32"/>
      <c r="P75" s="239">
        <v>94</v>
      </c>
      <c r="Q75" s="217" t="s">
        <v>13</v>
      </c>
      <c r="R75" s="207" t="s">
        <v>757</v>
      </c>
      <c r="S75" s="209">
        <v>2500</v>
      </c>
      <c r="T75" s="210" t="s">
        <v>280</v>
      </c>
      <c r="U75" s="221">
        <v>0</v>
      </c>
      <c r="V75" s="240"/>
      <c r="W75" s="226">
        <f t="shared" si="5"/>
        <v>0</v>
      </c>
      <c r="X75" s="233"/>
      <c r="Y75" s="212">
        <v>12753</v>
      </c>
      <c r="Z75" s="212" t="s">
        <v>756</v>
      </c>
      <c r="AA75" s="213">
        <v>29359030</v>
      </c>
      <c r="AB75" s="214">
        <v>913971129851723</v>
      </c>
      <c r="AC75" s="10"/>
    </row>
    <row r="76" spans="1:29" ht="42" customHeight="1">
      <c r="A76">
        <v>72</v>
      </c>
      <c r="B76" s="262">
        <v>88</v>
      </c>
      <c r="C76" s="265" t="s">
        <v>13</v>
      </c>
      <c r="D76" s="207" t="s">
        <v>759</v>
      </c>
      <c r="E76" s="209">
        <v>5000</v>
      </c>
      <c r="F76" s="266" t="s">
        <v>649</v>
      </c>
      <c r="G76" s="218"/>
      <c r="H76" s="218"/>
      <c r="I76" s="243"/>
      <c r="J76" s="277"/>
      <c r="K76" s="229"/>
      <c r="L76" s="208">
        <v>12665</v>
      </c>
      <c r="M76" s="208" t="s">
        <v>758</v>
      </c>
      <c r="N76" s="215">
        <v>29419090</v>
      </c>
      <c r="O76" s="216">
        <v>913980308865811</v>
      </c>
      <c r="P76" s="239">
        <v>89</v>
      </c>
      <c r="Q76" s="217" t="s">
        <v>13</v>
      </c>
      <c r="R76" s="211" t="s">
        <v>761</v>
      </c>
      <c r="S76" s="209">
        <v>5000</v>
      </c>
      <c r="T76" s="210" t="s">
        <v>63</v>
      </c>
      <c r="U76" s="221">
        <v>0</v>
      </c>
      <c r="V76" s="240"/>
      <c r="W76" s="226">
        <f t="shared" si="5"/>
        <v>0</v>
      </c>
      <c r="X76" s="234"/>
      <c r="Y76" s="212">
        <v>12713</v>
      </c>
      <c r="Z76" s="212" t="s">
        <v>760</v>
      </c>
      <c r="AA76" s="213">
        <v>29419090</v>
      </c>
      <c r="AB76" s="214">
        <v>914001223207743</v>
      </c>
      <c r="AC76" s="10"/>
    </row>
    <row r="77" spans="1:29" ht="42" customHeight="1">
      <c r="A77">
        <v>73</v>
      </c>
      <c r="B77" s="175"/>
      <c r="C77" s="51"/>
      <c r="D77" s="2"/>
      <c r="E77" s="19"/>
      <c r="F77" s="2"/>
      <c r="G77" s="8"/>
      <c r="H77" s="8"/>
      <c r="I77" s="64"/>
      <c r="J77" s="72"/>
      <c r="K77" s="4"/>
      <c r="L77" s="14"/>
      <c r="M77" s="14"/>
      <c r="N77" s="14"/>
      <c r="O77" s="32"/>
      <c r="P77" s="239">
        <v>220</v>
      </c>
      <c r="Q77" s="217" t="s">
        <v>13</v>
      </c>
      <c r="R77" s="211" t="s">
        <v>764</v>
      </c>
      <c r="S77" s="209">
        <v>1000</v>
      </c>
      <c r="T77" s="210" t="s">
        <v>763</v>
      </c>
      <c r="U77" s="221">
        <v>0</v>
      </c>
      <c r="V77" s="240"/>
      <c r="W77" s="226">
        <f t="shared" si="5"/>
        <v>0</v>
      </c>
      <c r="X77" s="234"/>
      <c r="Y77" s="212">
        <v>12574</v>
      </c>
      <c r="Z77" s="212" t="s">
        <v>762</v>
      </c>
      <c r="AA77" s="213">
        <v>29359090</v>
      </c>
      <c r="AB77" s="214">
        <v>913950531342018</v>
      </c>
      <c r="AC77" s="10"/>
    </row>
    <row r="78" spans="1:29" ht="42" customHeight="1">
      <c r="A78">
        <v>74</v>
      </c>
      <c r="B78" s="244"/>
      <c r="C78" s="54"/>
      <c r="D78" s="2"/>
      <c r="E78" s="19"/>
      <c r="F78" s="10"/>
      <c r="G78" s="8"/>
      <c r="H78" s="8"/>
      <c r="I78" s="64"/>
      <c r="J78" s="72"/>
      <c r="K78" s="4"/>
      <c r="L78" s="14"/>
      <c r="M78" s="14"/>
      <c r="N78" s="14"/>
      <c r="O78" s="32"/>
      <c r="P78" s="239">
        <v>32</v>
      </c>
      <c r="Q78" s="217" t="s">
        <v>13</v>
      </c>
      <c r="R78" s="211" t="s">
        <v>766</v>
      </c>
      <c r="S78" s="209">
        <v>10000</v>
      </c>
      <c r="T78" s="210" t="s">
        <v>474</v>
      </c>
      <c r="U78" s="221">
        <v>0</v>
      </c>
      <c r="V78" s="240"/>
      <c r="W78" s="226">
        <f t="shared" si="5"/>
        <v>0</v>
      </c>
      <c r="X78" s="234"/>
      <c r="Y78" s="212">
        <v>12807</v>
      </c>
      <c r="Z78" s="212" t="s">
        <v>765</v>
      </c>
      <c r="AA78" s="213">
        <v>29231090</v>
      </c>
      <c r="AB78" s="214">
        <v>913990214719967</v>
      </c>
      <c r="AC78" s="10"/>
    </row>
    <row r="79" spans="1:29" ht="42" customHeight="1">
      <c r="A79">
        <v>75</v>
      </c>
      <c r="B79" s="238">
        <v>213</v>
      </c>
      <c r="C79" s="217" t="s">
        <v>13</v>
      </c>
      <c r="D79" s="211" t="s">
        <v>769</v>
      </c>
      <c r="E79" s="209">
        <v>3000</v>
      </c>
      <c r="F79" s="266" t="s">
        <v>768</v>
      </c>
      <c r="G79" s="218"/>
      <c r="H79" s="218"/>
      <c r="I79" s="243"/>
      <c r="J79" s="277"/>
      <c r="K79" s="229"/>
      <c r="L79" s="208">
        <v>12249</v>
      </c>
      <c r="M79" s="208" t="s">
        <v>767</v>
      </c>
      <c r="N79" s="215">
        <v>29335915</v>
      </c>
      <c r="O79" s="216">
        <v>913950617016023</v>
      </c>
      <c r="P79" s="239">
        <v>212</v>
      </c>
      <c r="Q79" s="217" t="s">
        <v>13</v>
      </c>
      <c r="R79" s="211" t="s">
        <v>772</v>
      </c>
      <c r="S79" s="209">
        <v>3000</v>
      </c>
      <c r="T79" s="210" t="s">
        <v>771</v>
      </c>
      <c r="U79" s="221">
        <v>0</v>
      </c>
      <c r="V79" s="240"/>
      <c r="W79" s="226">
        <f t="shared" si="5"/>
        <v>0</v>
      </c>
      <c r="X79" s="233"/>
      <c r="Y79" s="212">
        <v>12495</v>
      </c>
      <c r="Z79" s="212" t="s">
        <v>770</v>
      </c>
      <c r="AA79" s="213">
        <v>29335915</v>
      </c>
      <c r="AB79" s="214">
        <v>913950617016023</v>
      </c>
      <c r="AC79" s="10"/>
    </row>
    <row r="80" spans="1:29" ht="42" customHeight="1">
      <c r="A80">
        <v>76</v>
      </c>
      <c r="B80" s="262"/>
      <c r="C80" s="265"/>
      <c r="D80" s="207"/>
      <c r="E80" s="209"/>
      <c r="F80" s="266"/>
      <c r="G80" s="218"/>
      <c r="H80" s="218"/>
      <c r="I80" s="243"/>
      <c r="J80" s="277"/>
      <c r="K80" s="229"/>
      <c r="L80" s="208"/>
      <c r="M80" s="208"/>
      <c r="N80" s="215"/>
      <c r="O80" s="216"/>
      <c r="P80" s="239">
        <v>186.85</v>
      </c>
      <c r="Q80" s="217" t="s">
        <v>13</v>
      </c>
      <c r="R80" s="211" t="s">
        <v>775</v>
      </c>
      <c r="S80" s="209">
        <v>10000</v>
      </c>
      <c r="T80" s="210" t="s">
        <v>774</v>
      </c>
      <c r="U80" s="221">
        <v>0</v>
      </c>
      <c r="V80" s="240"/>
      <c r="W80" s="226">
        <f t="shared" si="5"/>
        <v>0</v>
      </c>
      <c r="X80" s="233"/>
      <c r="Y80" s="212">
        <v>12335</v>
      </c>
      <c r="Z80" s="212" t="s">
        <v>773</v>
      </c>
      <c r="AA80" s="213">
        <v>29224990</v>
      </c>
      <c r="AB80" s="214">
        <v>913981123364940</v>
      </c>
      <c r="AC80" s="10"/>
    </row>
    <row r="81" spans="1:29" ht="42" customHeight="1">
      <c r="A81">
        <v>77</v>
      </c>
      <c r="B81" s="262">
        <v>226</v>
      </c>
      <c r="C81" s="217" t="s">
        <v>13</v>
      </c>
      <c r="D81" s="207" t="s">
        <v>777</v>
      </c>
      <c r="E81" s="209">
        <v>2000</v>
      </c>
      <c r="F81" s="266" t="s">
        <v>257</v>
      </c>
      <c r="G81" s="218"/>
      <c r="H81" s="218"/>
      <c r="I81" s="243"/>
      <c r="J81" s="277"/>
      <c r="K81" s="229"/>
      <c r="L81" s="208">
        <v>11951</v>
      </c>
      <c r="M81" s="208" t="s">
        <v>776</v>
      </c>
      <c r="N81" s="215">
        <v>29415090</v>
      </c>
      <c r="O81" s="216">
        <v>913980308636507</v>
      </c>
      <c r="P81" s="239">
        <v>225</v>
      </c>
      <c r="Q81" s="217" t="s">
        <v>13</v>
      </c>
      <c r="R81" s="211" t="s">
        <v>779</v>
      </c>
      <c r="S81" s="209">
        <v>2000</v>
      </c>
      <c r="T81" s="210" t="s">
        <v>257</v>
      </c>
      <c r="U81" s="221">
        <v>0</v>
      </c>
      <c r="V81" s="240"/>
      <c r="W81" s="226">
        <f t="shared" si="5"/>
        <v>0</v>
      </c>
      <c r="X81" s="233"/>
      <c r="Y81" s="212">
        <v>11977</v>
      </c>
      <c r="Z81" s="212" t="s">
        <v>778</v>
      </c>
      <c r="AA81" s="213">
        <v>29415090</v>
      </c>
      <c r="AB81" s="214">
        <v>913980308636507</v>
      </c>
      <c r="AC81" s="10"/>
    </row>
    <row r="82" spans="1:29" ht="42" customHeight="1">
      <c r="A82">
        <v>78</v>
      </c>
      <c r="B82" s="244"/>
      <c r="C82" s="54"/>
      <c r="D82" s="2"/>
      <c r="E82" s="19"/>
      <c r="F82" s="10"/>
      <c r="G82" s="8"/>
      <c r="H82" s="8"/>
      <c r="I82" s="64"/>
      <c r="J82" s="72"/>
      <c r="K82" s="4"/>
      <c r="L82" s="14"/>
      <c r="M82" s="14"/>
      <c r="N82" s="14"/>
      <c r="O82" s="32"/>
      <c r="P82" s="239">
        <v>31</v>
      </c>
      <c r="Q82" s="217" t="s">
        <v>13</v>
      </c>
      <c r="R82" s="211" t="s">
        <v>782</v>
      </c>
      <c r="S82" s="209">
        <v>10000</v>
      </c>
      <c r="T82" s="210" t="s">
        <v>781</v>
      </c>
      <c r="U82" s="221">
        <v>0</v>
      </c>
      <c r="V82" s="240"/>
      <c r="W82" s="226">
        <f t="shared" si="5"/>
        <v>0</v>
      </c>
      <c r="X82" s="233"/>
      <c r="Y82" s="212">
        <v>12321</v>
      </c>
      <c r="Z82" s="212" t="s">
        <v>780</v>
      </c>
      <c r="AA82" s="213">
        <v>29413000</v>
      </c>
      <c r="AB82" s="214">
        <v>914000530250284</v>
      </c>
      <c r="AC82" s="10"/>
    </row>
    <row r="83" spans="1:29" ht="42" customHeight="1">
      <c r="A83">
        <v>79</v>
      </c>
      <c r="B83" s="244"/>
      <c r="C83" s="54"/>
      <c r="D83" s="2"/>
      <c r="E83" s="19"/>
      <c r="F83" s="10"/>
      <c r="G83" s="8"/>
      <c r="H83" s="8"/>
      <c r="I83" s="64"/>
      <c r="J83" s="72"/>
      <c r="K83" s="4"/>
      <c r="L83" s="14"/>
      <c r="M83" s="14"/>
      <c r="N83" s="14"/>
      <c r="O83" s="32"/>
      <c r="P83" s="239">
        <v>12</v>
      </c>
      <c r="Q83" s="217" t="s">
        <v>13</v>
      </c>
      <c r="R83" s="211" t="s">
        <v>785</v>
      </c>
      <c r="S83" s="209">
        <v>5000</v>
      </c>
      <c r="T83" s="210" t="s">
        <v>784</v>
      </c>
      <c r="U83" s="221">
        <v>0</v>
      </c>
      <c r="V83" s="240"/>
      <c r="W83" s="226">
        <f t="shared" si="5"/>
        <v>0</v>
      </c>
      <c r="X83" s="233"/>
      <c r="Y83" s="212">
        <v>12093</v>
      </c>
      <c r="Z83" s="212" t="s">
        <v>783</v>
      </c>
      <c r="AA83" s="213">
        <v>29155000</v>
      </c>
      <c r="AB83" s="214">
        <v>913980419014136</v>
      </c>
      <c r="AC83" s="10"/>
    </row>
    <row r="84" spans="1:29" ht="42" customHeight="1">
      <c r="A84">
        <v>80</v>
      </c>
      <c r="B84" s="175"/>
      <c r="C84" s="51"/>
      <c r="D84" s="2"/>
      <c r="E84" s="19"/>
      <c r="F84" s="10"/>
      <c r="G84" s="8"/>
      <c r="H84" s="8"/>
      <c r="I84" s="64"/>
      <c r="J84" s="72"/>
      <c r="K84" s="4"/>
      <c r="L84" s="14"/>
      <c r="M84" s="14"/>
      <c r="N84" s="14"/>
      <c r="O84" s="32"/>
      <c r="P84" s="239">
        <v>88</v>
      </c>
      <c r="Q84" s="217" t="s">
        <v>13</v>
      </c>
      <c r="R84" s="211" t="s">
        <v>839</v>
      </c>
      <c r="S84" s="209">
        <v>350</v>
      </c>
      <c r="T84" s="210" t="s">
        <v>791</v>
      </c>
      <c r="U84" s="221">
        <v>0</v>
      </c>
      <c r="V84" s="240"/>
      <c r="W84" s="226">
        <f t="shared" si="5"/>
        <v>0</v>
      </c>
      <c r="X84" s="234"/>
      <c r="Y84" s="212">
        <v>7828</v>
      </c>
      <c r="Z84" s="212" t="s">
        <v>790</v>
      </c>
      <c r="AA84" s="213">
        <v>29224990</v>
      </c>
      <c r="AB84" s="214">
        <v>913951014233103</v>
      </c>
      <c r="AC84" s="10"/>
    </row>
    <row r="85" spans="1:29" ht="42" customHeight="1">
      <c r="A85">
        <v>81</v>
      </c>
      <c r="B85" s="175"/>
      <c r="C85" s="51"/>
      <c r="D85" s="2"/>
      <c r="E85" s="19"/>
      <c r="F85" s="10"/>
      <c r="G85" s="8"/>
      <c r="H85" s="8"/>
      <c r="I85" s="64"/>
      <c r="J85" s="72"/>
      <c r="K85" s="4"/>
      <c r="L85" s="14"/>
      <c r="M85" s="14"/>
      <c r="N85" s="14"/>
      <c r="O85" s="32"/>
      <c r="P85" s="239">
        <v>35</v>
      </c>
      <c r="Q85" s="217" t="s">
        <v>13</v>
      </c>
      <c r="R85" s="211" t="s">
        <v>793</v>
      </c>
      <c r="S85" s="209">
        <v>1500</v>
      </c>
      <c r="T85" s="210" t="s">
        <v>283</v>
      </c>
      <c r="U85" s="221">
        <v>0</v>
      </c>
      <c r="V85" s="240"/>
      <c r="W85" s="226">
        <f t="shared" si="5"/>
        <v>0</v>
      </c>
      <c r="X85" s="233"/>
      <c r="Y85" s="212">
        <v>12033</v>
      </c>
      <c r="Z85" s="212" t="s">
        <v>792</v>
      </c>
      <c r="AA85" s="213">
        <v>28209000</v>
      </c>
      <c r="AB85" s="214">
        <v>914000215806595</v>
      </c>
      <c r="AC85" s="10"/>
    </row>
    <row r="86" spans="1:29" ht="42" customHeight="1">
      <c r="A86">
        <v>82</v>
      </c>
      <c r="B86" s="175"/>
      <c r="C86" s="51"/>
      <c r="D86" s="2"/>
      <c r="E86" s="19"/>
      <c r="F86" s="10"/>
      <c r="G86" s="8"/>
      <c r="H86" s="8"/>
      <c r="I86" s="64"/>
      <c r="J86" s="72"/>
      <c r="K86" s="4"/>
      <c r="L86" s="14"/>
      <c r="M86" s="14"/>
      <c r="N86" s="14"/>
      <c r="O86" s="32"/>
      <c r="P86" s="239">
        <v>19</v>
      </c>
      <c r="Q86" s="217" t="s">
        <v>13</v>
      </c>
      <c r="R86" s="211" t="s">
        <v>797</v>
      </c>
      <c r="S86" s="209">
        <v>15000</v>
      </c>
      <c r="T86" s="210" t="s">
        <v>796</v>
      </c>
      <c r="U86" s="221">
        <v>0</v>
      </c>
      <c r="V86" s="240"/>
      <c r="W86" s="226">
        <f t="shared" si="5"/>
        <v>0</v>
      </c>
      <c r="X86" s="233"/>
      <c r="Y86" s="212">
        <v>12048</v>
      </c>
      <c r="Z86" s="212" t="s">
        <v>795</v>
      </c>
      <c r="AA86" s="213">
        <v>29181100</v>
      </c>
      <c r="AB86" s="214">
        <v>913990919922581</v>
      </c>
      <c r="AC86" s="10"/>
    </row>
    <row r="87" spans="1:29" ht="42" customHeight="1">
      <c r="A87">
        <v>83</v>
      </c>
      <c r="B87" s="175"/>
      <c r="C87" s="51"/>
      <c r="D87" s="2"/>
      <c r="E87" s="19"/>
      <c r="F87" s="10"/>
      <c r="G87" s="8"/>
      <c r="H87" s="8"/>
      <c r="I87" s="64"/>
      <c r="J87" s="72"/>
      <c r="K87" s="4"/>
      <c r="L87" s="14"/>
      <c r="M87" s="14"/>
      <c r="N87" s="14"/>
      <c r="O87" s="32"/>
      <c r="P87" s="239">
        <v>338</v>
      </c>
      <c r="Q87" s="217" t="s">
        <v>551</v>
      </c>
      <c r="R87" s="211" t="s">
        <v>799</v>
      </c>
      <c r="S87" s="209">
        <v>75</v>
      </c>
      <c r="T87" s="210" t="s">
        <v>774</v>
      </c>
      <c r="U87" s="221">
        <v>0</v>
      </c>
      <c r="V87" s="240"/>
      <c r="W87" s="226">
        <f t="shared" si="5"/>
        <v>0</v>
      </c>
      <c r="X87" s="233"/>
      <c r="Y87" s="212">
        <v>11844</v>
      </c>
      <c r="Z87" s="212" t="s">
        <v>798</v>
      </c>
      <c r="AA87" s="36"/>
      <c r="AB87" s="311"/>
      <c r="AC87" s="10"/>
    </row>
    <row r="88" spans="1:29" ht="42" customHeight="1">
      <c r="A88">
        <v>84</v>
      </c>
      <c r="B88" s="175"/>
      <c r="C88" s="51"/>
      <c r="D88" s="2"/>
      <c r="E88" s="19"/>
      <c r="F88" s="10"/>
      <c r="G88" s="8"/>
      <c r="H88" s="8"/>
      <c r="I88" s="64"/>
      <c r="J88" s="72"/>
      <c r="K88" s="4"/>
      <c r="L88" s="14"/>
      <c r="M88" s="14"/>
      <c r="N88" s="14"/>
      <c r="O88" s="32"/>
      <c r="P88" s="239">
        <v>99</v>
      </c>
      <c r="Q88" s="217" t="s">
        <v>13</v>
      </c>
      <c r="R88" s="211" t="s">
        <v>801</v>
      </c>
      <c r="S88" s="209">
        <v>2000</v>
      </c>
      <c r="T88" s="210" t="s">
        <v>63</v>
      </c>
      <c r="U88" s="221">
        <v>0</v>
      </c>
      <c r="V88" s="240"/>
      <c r="W88" s="226">
        <f t="shared" si="5"/>
        <v>0</v>
      </c>
      <c r="X88" s="233"/>
      <c r="Y88" s="212">
        <v>11401</v>
      </c>
      <c r="Z88" s="212" t="s">
        <v>800</v>
      </c>
      <c r="AA88" s="213">
        <v>29419090</v>
      </c>
      <c r="AB88" s="214">
        <v>913991115912895</v>
      </c>
      <c r="AC88" s="10"/>
    </row>
    <row r="89" spans="1:29" ht="42" customHeight="1">
      <c r="A89">
        <v>85</v>
      </c>
      <c r="B89" s="175"/>
      <c r="C89" s="51"/>
      <c r="D89" s="2"/>
      <c r="E89" s="19"/>
      <c r="F89" s="2"/>
      <c r="G89" s="8"/>
      <c r="H89" s="8"/>
      <c r="I89" s="64"/>
      <c r="J89" s="72"/>
      <c r="K89" s="4"/>
      <c r="L89" s="14"/>
      <c r="M89" s="14"/>
      <c r="N89" s="14"/>
      <c r="O89" s="32"/>
      <c r="P89" s="239">
        <v>130</v>
      </c>
      <c r="Q89" s="217" t="s">
        <v>13</v>
      </c>
      <c r="R89" s="211" t="s">
        <v>803</v>
      </c>
      <c r="S89" s="209">
        <v>300</v>
      </c>
      <c r="T89" s="210" t="s">
        <v>124</v>
      </c>
      <c r="U89" s="221">
        <v>0</v>
      </c>
      <c r="V89" s="240"/>
      <c r="W89" s="226">
        <f t="shared" si="5"/>
        <v>0</v>
      </c>
      <c r="X89" s="233"/>
      <c r="Y89" s="212">
        <v>12313</v>
      </c>
      <c r="Z89" s="212" t="s">
        <v>802</v>
      </c>
      <c r="AA89" s="213">
        <v>29224990</v>
      </c>
      <c r="AB89" s="214">
        <v>913951014118261</v>
      </c>
      <c r="AC89" s="10"/>
    </row>
    <row r="90" spans="1:29" ht="42" customHeight="1">
      <c r="A90">
        <v>86</v>
      </c>
      <c r="B90" s="175"/>
      <c r="C90" s="51"/>
      <c r="D90" s="2"/>
      <c r="E90" s="19"/>
      <c r="F90" s="10"/>
      <c r="G90" s="8"/>
      <c r="H90" s="8"/>
      <c r="I90" s="64"/>
      <c r="J90" s="72"/>
      <c r="K90" s="4"/>
      <c r="L90" s="14"/>
      <c r="M90" s="14"/>
      <c r="N90" s="14"/>
      <c r="O90" s="32"/>
      <c r="P90" s="239">
        <v>80</v>
      </c>
      <c r="Q90" s="217" t="s">
        <v>551</v>
      </c>
      <c r="R90" s="211" t="s">
        <v>840</v>
      </c>
      <c r="S90" s="209">
        <v>500</v>
      </c>
      <c r="T90" s="210" t="s">
        <v>805</v>
      </c>
      <c r="U90" s="221">
        <v>0</v>
      </c>
      <c r="V90" s="240"/>
      <c r="W90" s="226">
        <f t="shared" si="5"/>
        <v>0</v>
      </c>
      <c r="X90" s="233"/>
      <c r="Y90" s="212">
        <v>12458</v>
      </c>
      <c r="Z90" s="212" t="s">
        <v>804</v>
      </c>
      <c r="AA90" s="213">
        <v>29224990</v>
      </c>
      <c r="AB90" s="214">
        <v>913980721901834</v>
      </c>
      <c r="AC90" s="10"/>
    </row>
    <row r="91" spans="1:29" ht="42" customHeight="1">
      <c r="A91">
        <v>87</v>
      </c>
      <c r="B91" s="175"/>
      <c r="C91" s="51"/>
      <c r="D91" s="2"/>
      <c r="E91" s="19"/>
      <c r="F91" s="2"/>
      <c r="G91" s="8"/>
      <c r="H91" s="8"/>
      <c r="I91" s="64"/>
      <c r="J91" s="72"/>
      <c r="K91" s="4"/>
      <c r="L91" s="14"/>
      <c r="M91" s="14"/>
      <c r="N91" s="14"/>
      <c r="O91" s="32"/>
      <c r="P91" s="239">
        <v>780</v>
      </c>
      <c r="Q91" s="217" t="s">
        <v>13</v>
      </c>
      <c r="R91" s="211" t="s">
        <v>808</v>
      </c>
      <c r="S91" s="209">
        <v>500</v>
      </c>
      <c r="T91" s="210" t="s">
        <v>86</v>
      </c>
      <c r="U91" s="221">
        <v>0</v>
      </c>
      <c r="V91" s="240"/>
      <c r="W91" s="226">
        <f t="shared" si="5"/>
        <v>0</v>
      </c>
      <c r="X91" s="233"/>
      <c r="Y91" s="212">
        <v>11840</v>
      </c>
      <c r="Z91" s="212" t="s">
        <v>807</v>
      </c>
      <c r="AA91" s="213">
        <v>29415090</v>
      </c>
      <c r="AB91" s="214">
        <v>913960324853200</v>
      </c>
      <c r="AC91" s="10"/>
    </row>
    <row r="92" spans="1:29" ht="42" customHeight="1">
      <c r="A92">
        <v>88</v>
      </c>
      <c r="B92" s="244"/>
      <c r="C92" s="54"/>
      <c r="D92" s="2"/>
      <c r="E92" s="19"/>
      <c r="F92" s="10"/>
      <c r="G92" s="8"/>
      <c r="H92" s="8"/>
      <c r="I92" s="64"/>
      <c r="J92" s="72"/>
      <c r="K92" s="4"/>
      <c r="L92" s="14"/>
      <c r="M92" s="14"/>
      <c r="N92" s="14"/>
      <c r="O92" s="32"/>
      <c r="P92" s="239">
        <v>90</v>
      </c>
      <c r="Q92" s="217" t="s">
        <v>13</v>
      </c>
      <c r="R92" s="207" t="s">
        <v>810</v>
      </c>
      <c r="S92" s="209">
        <v>3500</v>
      </c>
      <c r="T92" s="217" t="s">
        <v>124</v>
      </c>
      <c r="U92" s="221">
        <v>0</v>
      </c>
      <c r="V92" s="240"/>
      <c r="W92" s="226">
        <f t="shared" si="5"/>
        <v>0</v>
      </c>
      <c r="X92" s="233"/>
      <c r="Y92" s="212">
        <v>12137</v>
      </c>
      <c r="Z92" s="275" t="s">
        <v>809</v>
      </c>
      <c r="AA92" s="213">
        <v>29304000</v>
      </c>
      <c r="AB92" s="214">
        <v>913950724353193</v>
      </c>
      <c r="AC92" s="10"/>
    </row>
    <row r="93" spans="1:29" ht="42" customHeight="1">
      <c r="A93">
        <v>89</v>
      </c>
      <c r="B93" s="244"/>
      <c r="C93" s="54"/>
      <c r="D93" s="2"/>
      <c r="E93" s="19"/>
      <c r="F93" s="10"/>
      <c r="G93" s="8"/>
      <c r="H93" s="8"/>
      <c r="I93" s="64"/>
      <c r="J93" s="72"/>
      <c r="K93" s="4"/>
      <c r="L93" s="14"/>
      <c r="M93" s="14"/>
      <c r="N93" s="14"/>
      <c r="O93" s="32"/>
      <c r="P93" s="239">
        <v>80</v>
      </c>
      <c r="Q93" s="217" t="s">
        <v>551</v>
      </c>
      <c r="R93" s="207" t="s">
        <v>806</v>
      </c>
      <c r="S93" s="209">
        <v>750</v>
      </c>
      <c r="T93" s="210" t="s">
        <v>805</v>
      </c>
      <c r="U93" s="221">
        <v>0</v>
      </c>
      <c r="V93" s="240"/>
      <c r="W93" s="226">
        <f t="shared" si="5"/>
        <v>0</v>
      </c>
      <c r="X93" s="233"/>
      <c r="Y93" s="212">
        <v>12458</v>
      </c>
      <c r="Z93" s="212" t="s">
        <v>804</v>
      </c>
      <c r="AA93" s="213">
        <v>29224990</v>
      </c>
      <c r="AB93" s="214">
        <v>913980721881833</v>
      </c>
      <c r="AC93" s="10"/>
    </row>
    <row r="94" spans="1:29" ht="42" customHeight="1">
      <c r="A94">
        <v>90</v>
      </c>
      <c r="B94" s="175"/>
      <c r="C94" s="51"/>
      <c r="D94" s="2"/>
      <c r="E94" s="19"/>
      <c r="F94" s="10"/>
      <c r="G94" s="8"/>
      <c r="H94" s="8"/>
      <c r="I94" s="64"/>
      <c r="J94" s="72"/>
      <c r="K94" s="4"/>
      <c r="L94" s="14"/>
      <c r="M94" s="14"/>
      <c r="N94" s="14"/>
      <c r="O94" s="32"/>
      <c r="P94" s="239">
        <v>133</v>
      </c>
      <c r="Q94" s="217" t="s">
        <v>13</v>
      </c>
      <c r="R94" s="211" t="s">
        <v>811</v>
      </c>
      <c r="S94" s="209">
        <v>150</v>
      </c>
      <c r="T94" s="210" t="s">
        <v>791</v>
      </c>
      <c r="U94" s="221">
        <v>0</v>
      </c>
      <c r="V94" s="240"/>
      <c r="W94" s="226">
        <f t="shared" si="5"/>
        <v>0</v>
      </c>
      <c r="X94" s="233"/>
      <c r="Y94" s="212">
        <v>7828</v>
      </c>
      <c r="Z94" s="212" t="s">
        <v>790</v>
      </c>
      <c r="AA94" s="213">
        <v>29339999</v>
      </c>
      <c r="AB94" s="214">
        <v>913951014130877</v>
      </c>
      <c r="AC94" s="10"/>
    </row>
    <row r="95" spans="1:29" ht="42" customHeight="1">
      <c r="A95">
        <v>91</v>
      </c>
      <c r="B95" s="175"/>
      <c r="C95" s="51"/>
      <c r="D95" s="2"/>
      <c r="E95" s="19"/>
      <c r="F95" s="10"/>
      <c r="G95" s="8"/>
      <c r="H95" s="8"/>
      <c r="I95" s="64"/>
      <c r="J95" s="72"/>
      <c r="K95" s="4"/>
      <c r="L95" s="14"/>
      <c r="M95" s="14"/>
      <c r="N95" s="14"/>
      <c r="O95" s="32"/>
      <c r="P95" s="239">
        <v>303.5</v>
      </c>
      <c r="Q95" s="217" t="s">
        <v>13</v>
      </c>
      <c r="R95" s="211" t="s">
        <v>812</v>
      </c>
      <c r="S95" s="209">
        <v>100</v>
      </c>
      <c r="T95" s="210" t="s">
        <v>791</v>
      </c>
      <c r="U95" s="221">
        <v>0</v>
      </c>
      <c r="V95" s="240"/>
      <c r="W95" s="226"/>
      <c r="X95" s="233"/>
      <c r="Y95" s="212">
        <v>7828</v>
      </c>
      <c r="Z95" s="212" t="s">
        <v>790</v>
      </c>
      <c r="AA95" s="213">
        <v>29225090</v>
      </c>
      <c r="AB95" s="214">
        <v>913951014446510</v>
      </c>
      <c r="AC95" s="10"/>
    </row>
    <row r="96" spans="1:29" ht="42" customHeight="1">
      <c r="A96">
        <v>92</v>
      </c>
      <c r="B96" s="175"/>
      <c r="C96" s="51"/>
      <c r="D96" s="2"/>
      <c r="E96" s="19"/>
      <c r="F96" s="10"/>
      <c r="G96" s="8"/>
      <c r="H96" s="8"/>
      <c r="I96" s="64"/>
      <c r="J96" s="72"/>
      <c r="K96" s="4"/>
      <c r="L96" s="14"/>
      <c r="M96" s="14"/>
      <c r="N96" s="14"/>
      <c r="O96" s="32"/>
      <c r="P96" s="239">
        <v>200</v>
      </c>
      <c r="Q96" s="217" t="s">
        <v>13</v>
      </c>
      <c r="R96" s="273" t="s">
        <v>814</v>
      </c>
      <c r="S96" s="273">
        <v>500</v>
      </c>
      <c r="T96" s="210" t="s">
        <v>124</v>
      </c>
      <c r="U96" s="223">
        <v>0</v>
      </c>
      <c r="V96" s="227"/>
      <c r="W96" s="227">
        <f>SUM(W4:W95)</f>
        <v>5980000</v>
      </c>
      <c r="X96" s="235"/>
      <c r="Y96" s="212">
        <v>12128</v>
      </c>
      <c r="Z96" s="212" t="s">
        <v>813</v>
      </c>
      <c r="AA96" s="213">
        <v>29252990</v>
      </c>
      <c r="AB96" s="214">
        <v>913990915323210</v>
      </c>
      <c r="AC96" s="10"/>
    </row>
    <row r="97" spans="1:29" ht="42" customHeight="1">
      <c r="A97">
        <v>93</v>
      </c>
      <c r="B97" s="175"/>
      <c r="C97" s="51"/>
      <c r="D97" s="2"/>
      <c r="E97" s="19"/>
      <c r="F97" s="10"/>
      <c r="G97" s="8"/>
      <c r="H97" s="8"/>
      <c r="I97" s="64"/>
      <c r="J97" s="72"/>
      <c r="K97" s="4"/>
      <c r="L97" s="14"/>
      <c r="M97" s="14"/>
      <c r="N97" s="14"/>
      <c r="O97" s="32"/>
      <c r="P97" s="239">
        <v>110</v>
      </c>
      <c r="Q97" s="217" t="s">
        <v>13</v>
      </c>
      <c r="R97" s="273" t="s">
        <v>820</v>
      </c>
      <c r="S97" s="273">
        <v>400</v>
      </c>
      <c r="T97" s="210" t="s">
        <v>124</v>
      </c>
      <c r="U97" s="224">
        <v>0</v>
      </c>
      <c r="V97" s="227"/>
      <c r="W97" s="227"/>
      <c r="X97" s="235"/>
      <c r="Y97" s="212">
        <v>12136</v>
      </c>
      <c r="Z97" s="212" t="s">
        <v>819</v>
      </c>
      <c r="AA97" s="213">
        <v>29224990</v>
      </c>
      <c r="AB97" s="214">
        <v>913950602158363</v>
      </c>
      <c r="AC97" s="10"/>
    </row>
    <row r="98" spans="1:29" ht="42" customHeight="1">
      <c r="A98">
        <v>94</v>
      </c>
      <c r="B98" s="175"/>
      <c r="C98" s="51"/>
      <c r="D98" s="2"/>
      <c r="E98" s="19"/>
      <c r="F98" s="10"/>
      <c r="G98" s="8"/>
      <c r="H98" s="8"/>
      <c r="I98" s="64"/>
      <c r="J98" s="72"/>
      <c r="K98" s="4"/>
      <c r="L98" s="14"/>
      <c r="M98" s="14"/>
      <c r="N98" s="14"/>
      <c r="O98" s="32"/>
      <c r="P98" s="239">
        <v>42</v>
      </c>
      <c r="Q98" s="217" t="s">
        <v>13</v>
      </c>
      <c r="R98" s="274" t="s">
        <v>822</v>
      </c>
      <c r="S98" s="274">
        <v>200</v>
      </c>
      <c r="T98" s="210" t="s">
        <v>124</v>
      </c>
      <c r="U98" s="225">
        <v>0</v>
      </c>
      <c r="V98" s="227"/>
      <c r="W98" s="227"/>
      <c r="X98" s="235"/>
      <c r="Y98" s="212">
        <v>12132</v>
      </c>
      <c r="Z98" s="212" t="s">
        <v>821</v>
      </c>
      <c r="AA98" s="213">
        <v>29225090</v>
      </c>
      <c r="AB98" s="214">
        <v>913950602665600</v>
      </c>
      <c r="AC98" s="10"/>
    </row>
    <row r="99" spans="1:29" ht="42" customHeight="1">
      <c r="A99">
        <v>95</v>
      </c>
      <c r="B99" s="175"/>
      <c r="C99" s="51"/>
      <c r="D99" s="2"/>
      <c r="E99" s="19"/>
      <c r="F99" s="10"/>
      <c r="G99" s="8"/>
      <c r="H99" s="8"/>
      <c r="I99" s="64"/>
      <c r="J99" s="72"/>
      <c r="K99" s="4"/>
      <c r="L99" s="14"/>
      <c r="M99" s="14"/>
      <c r="N99" s="14"/>
      <c r="O99" s="32"/>
      <c r="P99" s="239">
        <v>210</v>
      </c>
      <c r="Q99" s="217" t="s">
        <v>13</v>
      </c>
      <c r="R99" s="273" t="s">
        <v>824</v>
      </c>
      <c r="S99" s="273">
        <v>300</v>
      </c>
      <c r="T99" s="210" t="s">
        <v>124</v>
      </c>
      <c r="U99" s="224">
        <v>0</v>
      </c>
      <c r="V99" s="227"/>
      <c r="W99" s="227"/>
      <c r="X99" s="227"/>
      <c r="Y99" s="212">
        <v>12129</v>
      </c>
      <c r="Z99" s="212" t="s">
        <v>823</v>
      </c>
      <c r="AA99" s="213">
        <v>29224990</v>
      </c>
      <c r="AB99" s="214">
        <v>913950602430057</v>
      </c>
      <c r="AC99" s="10"/>
    </row>
    <row r="100" spans="1:29" ht="42" customHeight="1">
      <c r="A100">
        <v>96</v>
      </c>
      <c r="B100" s="175"/>
      <c r="C100" s="51"/>
      <c r="D100" s="2"/>
      <c r="E100" s="19"/>
      <c r="F100" s="10"/>
      <c r="G100" s="8"/>
      <c r="H100" s="8"/>
      <c r="I100" s="64"/>
      <c r="J100" s="72"/>
      <c r="K100" s="4"/>
      <c r="L100" s="14"/>
      <c r="M100" s="14"/>
      <c r="N100" s="14"/>
      <c r="O100" s="32"/>
      <c r="P100" s="239">
        <v>68</v>
      </c>
      <c r="Q100" s="217" t="s">
        <v>13</v>
      </c>
      <c r="R100" s="273" t="s">
        <v>826</v>
      </c>
      <c r="S100" s="273">
        <v>1000</v>
      </c>
      <c r="T100" s="210" t="s">
        <v>124</v>
      </c>
      <c r="U100" s="224">
        <v>0</v>
      </c>
      <c r="V100" s="227"/>
      <c r="W100" s="227"/>
      <c r="X100" s="227"/>
      <c r="Y100" s="212">
        <v>12134</v>
      </c>
      <c r="Z100" s="212" t="s">
        <v>825</v>
      </c>
      <c r="AA100" s="213">
        <v>29224990</v>
      </c>
      <c r="AB100" s="214">
        <v>913960313992499</v>
      </c>
      <c r="AC100" s="10"/>
    </row>
    <row r="101" spans="1:29" ht="42" customHeight="1">
      <c r="A101">
        <v>97</v>
      </c>
      <c r="B101" s="175"/>
      <c r="C101" s="51"/>
      <c r="D101" s="2"/>
      <c r="E101" s="19"/>
      <c r="F101" s="10"/>
      <c r="G101" s="8"/>
      <c r="H101" s="8"/>
      <c r="I101" s="64"/>
      <c r="J101" s="72"/>
      <c r="K101" s="4"/>
      <c r="L101" s="14"/>
      <c r="M101" s="14"/>
      <c r="N101" s="14"/>
      <c r="O101" s="32"/>
      <c r="P101" s="239">
        <v>80</v>
      </c>
      <c r="Q101" s="217" t="s">
        <v>13</v>
      </c>
      <c r="R101" s="273" t="s">
        <v>828</v>
      </c>
      <c r="S101" s="273">
        <v>200</v>
      </c>
      <c r="T101" s="210" t="s">
        <v>124</v>
      </c>
      <c r="U101" s="224">
        <v>0</v>
      </c>
      <c r="V101" s="227"/>
      <c r="W101" s="227"/>
      <c r="X101" s="227"/>
      <c r="Y101" s="212">
        <v>12133</v>
      </c>
      <c r="Z101" s="212" t="s">
        <v>827</v>
      </c>
      <c r="AA101" s="213" t="s">
        <v>848</v>
      </c>
      <c r="AB101" s="214">
        <v>913950602998414</v>
      </c>
      <c r="AC101" s="10"/>
    </row>
    <row r="102" spans="1:29" ht="42" customHeight="1">
      <c r="A102">
        <v>98</v>
      </c>
      <c r="B102" s="175"/>
      <c r="C102" s="51"/>
      <c r="D102" s="2"/>
      <c r="E102" s="19"/>
      <c r="F102" s="10"/>
      <c r="G102" s="8"/>
      <c r="H102" s="8"/>
      <c r="I102" s="64"/>
      <c r="J102" s="72"/>
      <c r="K102" s="4"/>
      <c r="L102" s="14"/>
      <c r="M102" s="14"/>
      <c r="N102" s="14"/>
      <c r="O102" s="32"/>
      <c r="P102" s="239">
        <v>135</v>
      </c>
      <c r="Q102" s="217" t="s">
        <v>13</v>
      </c>
      <c r="R102" s="273" t="s">
        <v>830</v>
      </c>
      <c r="S102" s="273">
        <v>150</v>
      </c>
      <c r="T102" s="210" t="s">
        <v>124</v>
      </c>
      <c r="U102" s="224">
        <v>0</v>
      </c>
      <c r="V102" s="241"/>
      <c r="W102" s="227"/>
      <c r="X102" s="227"/>
      <c r="Y102" s="212">
        <v>12131</v>
      </c>
      <c r="Z102" s="212" t="s">
        <v>829</v>
      </c>
      <c r="AA102" s="213" t="s">
        <v>848</v>
      </c>
      <c r="AB102" s="214">
        <v>913950602565749</v>
      </c>
      <c r="AC102" s="10"/>
    </row>
    <row r="103" spans="1:29" ht="42" customHeight="1">
      <c r="A103">
        <v>99</v>
      </c>
      <c r="B103" s="175"/>
      <c r="C103" s="51"/>
      <c r="D103" s="2"/>
      <c r="E103" s="19"/>
      <c r="F103" s="10"/>
      <c r="G103" s="8"/>
      <c r="H103" s="8"/>
      <c r="I103" s="64"/>
      <c r="J103" s="72"/>
      <c r="K103" s="4"/>
      <c r="L103" s="14"/>
      <c r="M103" s="14"/>
      <c r="N103" s="14"/>
      <c r="O103" s="32"/>
      <c r="P103" s="276">
        <v>890</v>
      </c>
      <c r="Q103" s="217" t="s">
        <v>13</v>
      </c>
      <c r="R103" s="273" t="s">
        <v>832</v>
      </c>
      <c r="S103" s="273">
        <v>100</v>
      </c>
      <c r="T103" s="210" t="s">
        <v>124</v>
      </c>
      <c r="U103" s="224">
        <v>0</v>
      </c>
      <c r="V103" s="227"/>
      <c r="W103" s="227"/>
      <c r="X103" s="236"/>
      <c r="Y103" s="212">
        <v>12138</v>
      </c>
      <c r="Z103" s="212" t="s">
        <v>831</v>
      </c>
      <c r="AA103" s="213">
        <v>29332990</v>
      </c>
      <c r="AB103" s="214">
        <v>913950602947664</v>
      </c>
      <c r="AC103" s="10"/>
    </row>
    <row r="104" spans="1:29" ht="42" customHeight="1">
      <c r="A104">
        <v>100</v>
      </c>
      <c r="B104" s="175"/>
      <c r="C104" s="51"/>
      <c r="D104" s="2"/>
      <c r="E104" s="19"/>
      <c r="F104" s="10"/>
      <c r="G104" s="8"/>
      <c r="H104" s="8"/>
      <c r="I104" s="64"/>
      <c r="J104" s="72"/>
      <c r="K104" s="4"/>
      <c r="L104" s="14"/>
      <c r="M104" s="14"/>
      <c r="N104" s="14"/>
      <c r="O104" s="32"/>
      <c r="P104" s="276">
        <v>33</v>
      </c>
      <c r="Q104" s="217" t="s">
        <v>13</v>
      </c>
      <c r="R104" s="273" t="s">
        <v>837</v>
      </c>
      <c r="S104" s="273">
        <v>6000</v>
      </c>
      <c r="T104" s="210" t="s">
        <v>124</v>
      </c>
      <c r="U104" s="224">
        <v>0</v>
      </c>
      <c r="V104" s="241"/>
      <c r="W104" s="227"/>
      <c r="X104" s="237"/>
      <c r="Y104" s="212">
        <v>12130</v>
      </c>
      <c r="Z104" s="212" t="s">
        <v>836</v>
      </c>
      <c r="AA104" s="213">
        <v>29224100</v>
      </c>
      <c r="AB104" s="214">
        <v>913950815090246</v>
      </c>
      <c r="AC104" s="168"/>
    </row>
    <row r="105" spans="1:29" ht="42" customHeight="1">
      <c r="A105">
        <v>101</v>
      </c>
      <c r="B105" s="175"/>
      <c r="C105" s="51"/>
      <c r="D105" s="2"/>
      <c r="E105" s="19"/>
      <c r="F105" s="10"/>
      <c r="G105" s="8"/>
      <c r="H105" s="8"/>
      <c r="I105" s="64"/>
      <c r="J105" s="72"/>
      <c r="K105" s="4"/>
      <c r="L105" s="14"/>
      <c r="M105" s="14"/>
      <c r="N105" s="14"/>
      <c r="O105" s="32"/>
      <c r="P105" s="276">
        <v>117</v>
      </c>
      <c r="Q105" s="217" t="s">
        <v>551</v>
      </c>
      <c r="R105" s="209" t="s">
        <v>838</v>
      </c>
      <c r="S105" s="273">
        <v>250</v>
      </c>
      <c r="T105" s="210" t="s">
        <v>805</v>
      </c>
      <c r="U105" s="224">
        <v>0</v>
      </c>
      <c r="V105" s="242"/>
      <c r="W105" s="227"/>
      <c r="X105" s="237"/>
      <c r="Y105" s="212">
        <v>12458</v>
      </c>
      <c r="Z105" s="212" t="s">
        <v>804</v>
      </c>
      <c r="AA105" s="213">
        <v>29224990</v>
      </c>
      <c r="AB105" s="214">
        <v>913980721110469</v>
      </c>
      <c r="AC105" s="168"/>
    </row>
    <row r="106" spans="1:29" ht="42" customHeight="1">
      <c r="A106">
        <v>102</v>
      </c>
      <c r="B106" s="281"/>
      <c r="C106" s="282"/>
      <c r="D106" s="283"/>
      <c r="E106" s="284"/>
      <c r="F106" s="285"/>
      <c r="G106" s="286"/>
      <c r="H106" s="286"/>
      <c r="I106" s="287"/>
      <c r="J106" s="288"/>
      <c r="K106" s="289"/>
      <c r="L106" s="290"/>
      <c r="M106" s="290"/>
      <c r="N106" s="300"/>
      <c r="O106" s="301"/>
      <c r="P106" s="299">
        <v>0.19600000000000001</v>
      </c>
      <c r="Q106" s="217" t="s">
        <v>13</v>
      </c>
      <c r="R106" s="298" t="s">
        <v>845</v>
      </c>
      <c r="S106" s="291">
        <v>3000000</v>
      </c>
      <c r="T106" s="272" t="s">
        <v>317</v>
      </c>
      <c r="U106" s="292"/>
      <c r="V106" s="293"/>
      <c r="W106" s="294"/>
      <c r="X106" s="295"/>
      <c r="Y106" s="296">
        <v>10803</v>
      </c>
      <c r="Z106" s="296" t="s">
        <v>846</v>
      </c>
      <c r="AA106" s="36"/>
      <c r="AB106" s="311"/>
      <c r="AC106" s="297"/>
    </row>
    <row r="107" spans="1:29" ht="42" customHeight="1">
      <c r="B107" s="269"/>
      <c r="C107" s="270"/>
      <c r="D107" s="283"/>
      <c r="E107" s="271"/>
      <c r="F107" s="303"/>
      <c r="G107" s="246">
        <v>0</v>
      </c>
      <c r="H107" s="246" t="e">
        <f>VLOOKUP(L:L,#REF!,2,FALSE)</f>
        <v>#REF!</v>
      </c>
      <c r="I107" s="247"/>
      <c r="J107" s="279" t="e">
        <f>E107*H107</f>
        <v>#REF!</v>
      </c>
      <c r="K107" s="245"/>
      <c r="L107" s="290"/>
      <c r="M107" s="290"/>
      <c r="N107" s="302"/>
      <c r="O107" s="301"/>
      <c r="P107" s="248">
        <v>51.45</v>
      </c>
      <c r="Q107" s="249" t="s">
        <v>89</v>
      </c>
      <c r="R107" s="250" t="s">
        <v>542</v>
      </c>
      <c r="S107" s="251">
        <v>5000</v>
      </c>
      <c r="T107" s="252" t="s">
        <v>498</v>
      </c>
      <c r="U107" s="253">
        <v>0</v>
      </c>
      <c r="V107" s="254"/>
      <c r="W107" s="255">
        <f>S107*U107</f>
        <v>0</v>
      </c>
      <c r="X107" s="256"/>
      <c r="Y107" s="257">
        <v>12325</v>
      </c>
      <c r="Z107" s="257" t="s">
        <v>541</v>
      </c>
      <c r="AA107" s="213"/>
      <c r="AB107" s="214"/>
      <c r="AC107" s="258" t="e">
        <f>W107/J107</f>
        <v>#REF!</v>
      </c>
    </row>
    <row r="108" spans="1:29" ht="42" customHeight="1">
      <c r="B108" s="269"/>
      <c r="C108" s="270"/>
      <c r="D108" s="283"/>
      <c r="E108" s="271"/>
      <c r="F108" s="303"/>
      <c r="G108" s="246">
        <v>0</v>
      </c>
      <c r="H108" s="246" t="e">
        <f>VLOOKUP(L:L,#REF!,2,FALSE)</f>
        <v>#REF!</v>
      </c>
      <c r="I108" s="247"/>
      <c r="J108" s="279" t="e">
        <f>E108*H108</f>
        <v>#REF!</v>
      </c>
      <c r="K108" s="245"/>
      <c r="L108" s="290"/>
      <c r="M108" s="290"/>
      <c r="N108" s="302"/>
      <c r="O108" s="301"/>
      <c r="P108" s="248">
        <v>6500</v>
      </c>
      <c r="Q108" s="249" t="s">
        <v>789</v>
      </c>
      <c r="R108" s="250" t="s">
        <v>787</v>
      </c>
      <c r="S108" s="251">
        <v>500</v>
      </c>
      <c r="T108" s="252" t="s">
        <v>788</v>
      </c>
      <c r="U108" s="253">
        <v>0</v>
      </c>
      <c r="V108" s="254"/>
      <c r="W108" s="255">
        <f>S108*U108</f>
        <v>0</v>
      </c>
      <c r="X108" s="256"/>
      <c r="Y108" s="257">
        <v>11120</v>
      </c>
      <c r="Z108" s="257" t="s">
        <v>786</v>
      </c>
      <c r="AA108" s="213"/>
      <c r="AB108" s="214"/>
      <c r="AC108" s="258" t="e">
        <f>W108/J108</f>
        <v>#REF!</v>
      </c>
    </row>
    <row r="109" spans="1:29" ht="42" customHeight="1">
      <c r="B109" s="269"/>
      <c r="C109" s="270"/>
      <c r="D109" s="283"/>
      <c r="E109" s="271"/>
      <c r="F109" s="303"/>
      <c r="G109" s="246">
        <v>0</v>
      </c>
      <c r="H109" s="246" t="e">
        <f>VLOOKUP(L:L,#REF!,2,FALSE)</f>
        <v>#REF!</v>
      </c>
      <c r="I109" s="247"/>
      <c r="J109" s="279" t="e">
        <f>E109*H109</f>
        <v>#REF!</v>
      </c>
      <c r="K109" s="245"/>
      <c r="L109" s="290"/>
      <c r="M109" s="290"/>
      <c r="N109" s="302"/>
      <c r="O109" s="301"/>
      <c r="P109" s="248">
        <v>31.5</v>
      </c>
      <c r="Q109" s="249" t="s">
        <v>89</v>
      </c>
      <c r="R109" s="250" t="s">
        <v>794</v>
      </c>
      <c r="S109" s="251">
        <v>500</v>
      </c>
      <c r="T109" s="252" t="s">
        <v>498</v>
      </c>
      <c r="U109" s="253">
        <v>0</v>
      </c>
      <c r="V109" s="254"/>
      <c r="W109" s="255">
        <f>S109*U109</f>
        <v>0</v>
      </c>
      <c r="X109" s="256"/>
      <c r="Y109" s="257">
        <v>11870</v>
      </c>
      <c r="Z109" s="257" t="s">
        <v>496</v>
      </c>
      <c r="AA109" s="213"/>
      <c r="AB109" s="214"/>
      <c r="AC109" s="258" t="e">
        <f>W109/J109</f>
        <v>#REF!</v>
      </c>
    </row>
    <row r="110" spans="1:29" ht="42" customHeight="1">
      <c r="B110" s="269"/>
      <c r="C110" s="270"/>
      <c r="D110" s="283"/>
      <c r="E110" s="271"/>
      <c r="F110" s="303"/>
      <c r="G110" s="246">
        <v>0</v>
      </c>
      <c r="H110" s="246" t="e">
        <f>VLOOKUP(L:L,#REF!,2,FALSE)</f>
        <v>#REF!</v>
      </c>
      <c r="I110" s="247"/>
      <c r="J110" s="279" t="e">
        <f>E110*H110</f>
        <v>#REF!</v>
      </c>
      <c r="K110" s="245"/>
      <c r="L110" s="290"/>
      <c r="M110" s="290"/>
      <c r="N110" s="302"/>
      <c r="O110" s="301"/>
      <c r="P110" s="248">
        <v>2500</v>
      </c>
      <c r="Q110" s="249" t="s">
        <v>818</v>
      </c>
      <c r="R110" s="250" t="s">
        <v>817</v>
      </c>
      <c r="S110" s="251">
        <v>100</v>
      </c>
      <c r="T110" s="252" t="s">
        <v>816</v>
      </c>
      <c r="U110" s="253">
        <v>0</v>
      </c>
      <c r="V110" s="254"/>
      <c r="W110" s="255">
        <f>S110*U110</f>
        <v>0</v>
      </c>
      <c r="X110" s="256"/>
      <c r="Y110" s="257">
        <v>8452</v>
      </c>
      <c r="Z110" s="257" t="s">
        <v>815</v>
      </c>
      <c r="AA110" s="213"/>
      <c r="AB110" s="214"/>
      <c r="AC110" s="258" t="e">
        <f>W110/J110</f>
        <v>#REF!</v>
      </c>
    </row>
    <row r="111" spans="1:29" ht="42" customHeight="1">
      <c r="B111" s="269"/>
      <c r="C111" s="270"/>
      <c r="D111" s="283"/>
      <c r="E111" s="271"/>
      <c r="F111" s="303"/>
      <c r="G111" s="246">
        <v>0</v>
      </c>
      <c r="H111" s="246" t="e">
        <f>VLOOKUP(L:L,#REF!,2,FALSE)</f>
        <v>#REF!</v>
      </c>
      <c r="I111" s="247"/>
      <c r="J111" s="279" t="e">
        <f>E111*H111</f>
        <v>#REF!</v>
      </c>
      <c r="K111" s="245"/>
      <c r="L111" s="290"/>
      <c r="M111" s="290"/>
      <c r="N111" s="302"/>
      <c r="O111" s="301"/>
      <c r="P111" s="248">
        <v>458.4</v>
      </c>
      <c r="Q111" s="249" t="s">
        <v>553</v>
      </c>
      <c r="R111" s="250" t="s">
        <v>835</v>
      </c>
      <c r="S111" s="251">
        <v>100</v>
      </c>
      <c r="T111" s="252" t="s">
        <v>834</v>
      </c>
      <c r="U111" s="253">
        <v>0</v>
      </c>
      <c r="V111" s="254"/>
      <c r="W111" s="255">
        <f>S111*U111</f>
        <v>0</v>
      </c>
      <c r="X111" s="256"/>
      <c r="Y111" s="257">
        <v>11549</v>
      </c>
      <c r="Z111" s="257" t="s">
        <v>833</v>
      </c>
      <c r="AA111" s="213"/>
      <c r="AB111" s="214"/>
      <c r="AC111" s="258" t="e">
        <f>W111/J111</f>
        <v>#REF!</v>
      </c>
    </row>
    <row r="112" spans="1:29" ht="42" customHeight="1">
      <c r="B112" s="192"/>
    </row>
    <row r="113" spans="2:2" ht="42" customHeight="1">
      <c r="B113" s="192"/>
    </row>
    <row r="114" spans="2:2" ht="42" customHeight="1">
      <c r="B114" s="192"/>
    </row>
    <row r="115" spans="2:2" ht="42" customHeight="1">
      <c r="B115" s="192"/>
    </row>
    <row r="116" spans="2:2" ht="42" customHeight="1">
      <c r="B116" s="192"/>
    </row>
    <row r="117" spans="2:2" ht="42" customHeight="1">
      <c r="B117" s="192"/>
    </row>
    <row r="118" spans="2:2" ht="42" customHeight="1">
      <c r="B118" s="192"/>
    </row>
    <row r="119" spans="2:2" ht="42" customHeight="1">
      <c r="B119" s="192"/>
    </row>
    <row r="120" spans="2:2" ht="42" customHeight="1">
      <c r="B120" s="192"/>
    </row>
    <row r="121" spans="2:2" ht="42" customHeight="1">
      <c r="B121" s="192"/>
    </row>
    <row r="122" spans="2:2" ht="42" customHeight="1">
      <c r="B122" s="192"/>
    </row>
    <row r="123" spans="2:2" ht="42" customHeight="1">
      <c r="B123" s="192"/>
    </row>
    <row r="124" spans="2:2" ht="42" customHeight="1">
      <c r="B124" s="192"/>
    </row>
    <row r="125" spans="2:2" ht="42" customHeight="1">
      <c r="B125" s="192"/>
    </row>
    <row r="126" spans="2:2" ht="42" customHeight="1">
      <c r="B126" s="192"/>
    </row>
    <row r="127" spans="2:2" ht="42" customHeight="1">
      <c r="B127" s="192"/>
    </row>
    <row r="128" spans="2:2" ht="42" customHeight="1">
      <c r="B128" s="192"/>
    </row>
    <row r="129" spans="2:2" ht="42" customHeight="1">
      <c r="B129" s="192"/>
    </row>
    <row r="130" spans="2:2" ht="42" customHeight="1">
      <c r="B130" s="192"/>
    </row>
    <row r="131" spans="2:2" ht="42" customHeight="1">
      <c r="B131" s="192"/>
    </row>
    <row r="132" spans="2:2" ht="42" customHeight="1">
      <c r="B132" s="192"/>
    </row>
    <row r="133" spans="2:2" ht="42" customHeight="1">
      <c r="B133" s="192"/>
    </row>
    <row r="134" spans="2:2" ht="42" customHeight="1">
      <c r="B134" s="192"/>
    </row>
    <row r="135" spans="2:2" ht="42" customHeight="1">
      <c r="B135" s="192"/>
    </row>
    <row r="136" spans="2:2" ht="42" customHeight="1">
      <c r="B136" s="192"/>
    </row>
    <row r="137" spans="2:2" ht="42" customHeight="1">
      <c r="B137" s="192"/>
    </row>
    <row r="138" spans="2:2" ht="42" customHeight="1">
      <c r="B138" s="192"/>
    </row>
    <row r="139" spans="2:2" ht="42" customHeight="1">
      <c r="B139" s="192"/>
    </row>
    <row r="140" spans="2:2" ht="42" customHeight="1">
      <c r="B140" s="192"/>
    </row>
    <row r="141" spans="2:2" ht="42" customHeight="1">
      <c r="B141" s="192"/>
    </row>
    <row r="142" spans="2:2" ht="42" customHeight="1">
      <c r="B142" s="192"/>
    </row>
    <row r="143" spans="2:2" ht="42" customHeight="1">
      <c r="B143" s="192"/>
    </row>
    <row r="144" spans="2:2" ht="42" customHeight="1">
      <c r="B144" s="192"/>
    </row>
    <row r="145" spans="2:2" ht="42" customHeight="1">
      <c r="B145" s="192"/>
    </row>
    <row r="146" spans="2:2" ht="42" customHeight="1">
      <c r="B146" s="192"/>
    </row>
    <row r="147" spans="2:2" ht="42" customHeight="1">
      <c r="B147" s="192"/>
    </row>
    <row r="148" spans="2:2" ht="42" customHeight="1">
      <c r="B148" s="192"/>
    </row>
    <row r="149" spans="2:2" ht="42" customHeight="1">
      <c r="B149" s="192"/>
    </row>
    <row r="150" spans="2:2" ht="42" customHeight="1">
      <c r="B150" s="192"/>
    </row>
    <row r="151" spans="2:2" ht="42" customHeight="1">
      <c r="B151" s="192"/>
    </row>
    <row r="152" spans="2:2" ht="42" customHeight="1">
      <c r="B152" s="192"/>
    </row>
    <row r="153" spans="2:2" ht="42" customHeight="1">
      <c r="B153" s="192"/>
    </row>
    <row r="154" spans="2:2" ht="42" customHeight="1">
      <c r="B154" s="192"/>
    </row>
    <row r="155" spans="2:2" ht="42" customHeight="1">
      <c r="B155" s="192"/>
    </row>
    <row r="156" spans="2:2" ht="42" customHeight="1">
      <c r="B156" s="192"/>
    </row>
    <row r="157" spans="2:2" ht="42" customHeight="1">
      <c r="B157" s="192"/>
    </row>
    <row r="158" spans="2:2" ht="42" customHeight="1">
      <c r="B158" s="192"/>
    </row>
    <row r="159" spans="2:2" ht="42" customHeight="1">
      <c r="B159" s="192"/>
    </row>
    <row r="160" spans="2:2" ht="42" customHeight="1">
      <c r="B160" s="192"/>
    </row>
    <row r="161" spans="2:2" ht="42" customHeight="1">
      <c r="B161" s="192"/>
    </row>
    <row r="162" spans="2:2" ht="42" customHeight="1">
      <c r="B162" s="192"/>
    </row>
    <row r="163" spans="2:2" ht="42" customHeight="1">
      <c r="B163" s="192"/>
    </row>
    <row r="164" spans="2:2" ht="42" customHeight="1">
      <c r="B164" s="192"/>
    </row>
    <row r="165" spans="2:2" ht="42" customHeight="1">
      <c r="B165" s="192"/>
    </row>
    <row r="166" spans="2:2" ht="42" customHeight="1">
      <c r="B166" s="192"/>
    </row>
    <row r="167" spans="2:2" ht="42" customHeight="1">
      <c r="B167" s="192"/>
    </row>
    <row r="168" spans="2:2" ht="42" customHeight="1">
      <c r="B168" s="192"/>
    </row>
    <row r="169" spans="2:2" ht="42" customHeight="1">
      <c r="B169" s="192"/>
    </row>
    <row r="170" spans="2:2" ht="42" customHeight="1">
      <c r="B170" s="192"/>
    </row>
    <row r="171" spans="2:2" ht="42" customHeight="1">
      <c r="B171" s="192"/>
    </row>
    <row r="172" spans="2:2" ht="42" customHeight="1">
      <c r="B172" s="192"/>
    </row>
    <row r="173" spans="2:2" ht="42" customHeight="1">
      <c r="B173" s="192"/>
    </row>
    <row r="174" spans="2:2" ht="42" customHeight="1">
      <c r="B174" s="192"/>
    </row>
    <row r="175" spans="2:2" ht="42" customHeight="1">
      <c r="B175" s="192"/>
    </row>
    <row r="176" spans="2:2" ht="42" customHeight="1">
      <c r="B176" s="192"/>
    </row>
    <row r="177" spans="2:2" ht="42" customHeight="1">
      <c r="B177" s="192"/>
    </row>
    <row r="178" spans="2:2" ht="42" customHeight="1">
      <c r="B178" s="192"/>
    </row>
    <row r="179" spans="2:2" ht="42" customHeight="1">
      <c r="B179" s="192"/>
    </row>
    <row r="180" spans="2:2" ht="42" customHeight="1">
      <c r="B180" s="192"/>
    </row>
    <row r="181" spans="2:2" ht="42" customHeight="1">
      <c r="B181" s="192"/>
    </row>
    <row r="182" spans="2:2" ht="42" customHeight="1">
      <c r="B182" s="192"/>
    </row>
    <row r="183" spans="2:2" ht="42" customHeight="1">
      <c r="B183" s="192"/>
    </row>
    <row r="184" spans="2:2" ht="42" customHeight="1">
      <c r="B184" s="192"/>
    </row>
    <row r="185" spans="2:2" ht="42" customHeight="1">
      <c r="B185" s="192"/>
    </row>
    <row r="186" spans="2:2" ht="42" customHeight="1">
      <c r="B186" s="192"/>
    </row>
    <row r="187" spans="2:2" ht="42" customHeight="1">
      <c r="B187" s="192"/>
    </row>
    <row r="188" spans="2:2" ht="42" customHeight="1">
      <c r="B188" s="192"/>
    </row>
    <row r="189" spans="2:2" ht="42" customHeight="1">
      <c r="B189" s="192"/>
    </row>
    <row r="190" spans="2:2" ht="42" customHeight="1">
      <c r="B190" s="192"/>
    </row>
    <row r="191" spans="2:2" ht="42" customHeight="1">
      <c r="B191" s="192"/>
    </row>
    <row r="192" spans="2:2" ht="42" customHeight="1">
      <c r="B192" s="192"/>
    </row>
    <row r="193" spans="2:2" ht="42" customHeight="1">
      <c r="B193" s="192"/>
    </row>
    <row r="194" spans="2:2" ht="42" customHeight="1">
      <c r="B194" s="192"/>
    </row>
    <row r="195" spans="2:2" ht="42" customHeight="1">
      <c r="B195" s="192"/>
    </row>
    <row r="196" spans="2:2" ht="42" customHeight="1">
      <c r="B196" s="192"/>
    </row>
    <row r="197" spans="2:2" ht="42" customHeight="1">
      <c r="B197" s="192"/>
    </row>
    <row r="198" spans="2:2" ht="42" customHeight="1">
      <c r="B198" s="192"/>
    </row>
    <row r="199" spans="2:2" ht="42" customHeight="1">
      <c r="B199" s="192"/>
    </row>
    <row r="200" spans="2:2" ht="42" customHeight="1">
      <c r="B200" s="192"/>
    </row>
    <row r="201" spans="2:2" ht="42" customHeight="1">
      <c r="B201" s="192"/>
    </row>
    <row r="202" spans="2:2" ht="42" customHeight="1">
      <c r="B202" s="192"/>
    </row>
    <row r="203" spans="2:2" ht="42" customHeight="1">
      <c r="B203" s="192"/>
    </row>
    <row r="204" spans="2:2" ht="42" customHeight="1">
      <c r="B204" s="192"/>
    </row>
    <row r="205" spans="2:2" ht="42" customHeight="1">
      <c r="B205" s="192"/>
    </row>
    <row r="206" spans="2:2" ht="42" customHeight="1">
      <c r="B206" s="192"/>
    </row>
    <row r="207" spans="2:2" ht="42" customHeight="1">
      <c r="B207" s="192"/>
    </row>
    <row r="208" spans="2:2" ht="42" customHeight="1">
      <c r="B208" s="192"/>
    </row>
    <row r="209" spans="2:2" ht="42" customHeight="1">
      <c r="B209" s="192"/>
    </row>
    <row r="210" spans="2:2" ht="42" customHeight="1">
      <c r="B210" s="192"/>
    </row>
    <row r="211" spans="2:2" ht="42" customHeight="1">
      <c r="B211" s="192"/>
    </row>
    <row r="212" spans="2:2" ht="42" customHeight="1">
      <c r="B212" s="192"/>
    </row>
    <row r="213" spans="2:2" ht="42" customHeight="1">
      <c r="B213" s="192"/>
    </row>
    <row r="214" spans="2:2" ht="42" customHeight="1">
      <c r="B214" s="192"/>
    </row>
    <row r="215" spans="2:2" ht="42" customHeight="1">
      <c r="B215" s="192"/>
    </row>
    <row r="216" spans="2:2" ht="42" customHeight="1">
      <c r="B216" s="192"/>
    </row>
    <row r="217" spans="2:2" ht="42" customHeight="1">
      <c r="B217" s="192"/>
    </row>
    <row r="218" spans="2:2" ht="42" customHeight="1">
      <c r="B218" s="192"/>
    </row>
    <row r="219" spans="2:2" ht="42" customHeight="1">
      <c r="B219" s="192"/>
    </row>
    <row r="220" spans="2:2" ht="42" customHeight="1">
      <c r="B220" s="192"/>
    </row>
    <row r="221" spans="2:2" ht="42" customHeight="1">
      <c r="B221" s="192"/>
    </row>
    <row r="222" spans="2:2" ht="42" customHeight="1">
      <c r="B222" s="192"/>
    </row>
    <row r="223" spans="2:2" ht="42" customHeight="1">
      <c r="B223" s="192"/>
    </row>
    <row r="224" spans="2:2" ht="42" customHeight="1">
      <c r="B224" s="192"/>
    </row>
    <row r="225" spans="2:2" ht="42" customHeight="1">
      <c r="B225" s="192"/>
    </row>
    <row r="226" spans="2:2" ht="42" customHeight="1">
      <c r="B226" s="192"/>
    </row>
    <row r="227" spans="2:2" ht="42" customHeight="1">
      <c r="B227" s="192"/>
    </row>
    <row r="228" spans="2:2" ht="42" customHeight="1">
      <c r="B228" s="192"/>
    </row>
    <row r="229" spans="2:2" ht="42" customHeight="1">
      <c r="B229" s="192"/>
    </row>
    <row r="230" spans="2:2" ht="42" customHeight="1">
      <c r="B230" s="192"/>
    </row>
    <row r="231" spans="2:2" ht="42" customHeight="1">
      <c r="B231" s="192"/>
    </row>
    <row r="232" spans="2:2" ht="42" customHeight="1">
      <c r="B232" s="192"/>
    </row>
    <row r="233" spans="2:2" ht="42" customHeight="1">
      <c r="B233" s="192"/>
    </row>
    <row r="234" spans="2:2" ht="42" customHeight="1">
      <c r="B234" s="192"/>
    </row>
    <row r="235" spans="2:2" ht="42" customHeight="1">
      <c r="B235" s="192"/>
    </row>
    <row r="236" spans="2:2" ht="42" customHeight="1">
      <c r="B236" s="192"/>
    </row>
    <row r="237" spans="2:2" ht="42" customHeight="1">
      <c r="B237" s="192"/>
    </row>
    <row r="238" spans="2:2" ht="42" customHeight="1">
      <c r="B238" s="192"/>
    </row>
    <row r="239" spans="2:2" ht="42" customHeight="1">
      <c r="B239" s="192"/>
    </row>
    <row r="240" spans="2:2" ht="42" customHeight="1">
      <c r="B240" s="192"/>
    </row>
    <row r="241" spans="2:2" ht="42" customHeight="1">
      <c r="B241" s="192"/>
    </row>
    <row r="242" spans="2:2" ht="42" customHeight="1">
      <c r="B242" s="192"/>
    </row>
    <row r="243" spans="2:2" ht="42" customHeight="1">
      <c r="B243" s="192"/>
    </row>
    <row r="244" spans="2:2" ht="42" customHeight="1">
      <c r="B244" s="192"/>
    </row>
    <row r="245" spans="2:2" ht="42" customHeight="1">
      <c r="B245" s="192"/>
    </row>
    <row r="246" spans="2:2" ht="42" customHeight="1">
      <c r="B246" s="192"/>
    </row>
    <row r="247" spans="2:2" ht="42" customHeight="1">
      <c r="B247" s="192"/>
    </row>
    <row r="248" spans="2:2" ht="42" customHeight="1">
      <c r="B248" s="192"/>
    </row>
    <row r="249" spans="2:2" ht="42" customHeight="1">
      <c r="B249" s="192"/>
    </row>
    <row r="250" spans="2:2" ht="42" customHeight="1">
      <c r="B250" s="192"/>
    </row>
    <row r="251" spans="2:2" ht="42" customHeight="1">
      <c r="B251" s="192"/>
    </row>
    <row r="252" spans="2:2" ht="42" customHeight="1">
      <c r="B252" s="192"/>
    </row>
    <row r="253" spans="2:2" ht="42" customHeight="1">
      <c r="B253" s="192"/>
    </row>
    <row r="254" spans="2:2" ht="42" customHeight="1">
      <c r="B254" s="192"/>
    </row>
    <row r="255" spans="2:2" ht="42" customHeight="1">
      <c r="B255" s="192"/>
    </row>
    <row r="256" spans="2:2" ht="42" customHeight="1">
      <c r="B256" s="192"/>
    </row>
    <row r="257" spans="2:2" ht="42" customHeight="1">
      <c r="B257" s="192"/>
    </row>
    <row r="258" spans="2:2" ht="42" customHeight="1">
      <c r="B258" s="192"/>
    </row>
    <row r="259" spans="2:2" ht="42" customHeight="1">
      <c r="B259" s="192"/>
    </row>
    <row r="260" spans="2:2" ht="42" customHeight="1">
      <c r="B260" s="192"/>
    </row>
    <row r="261" spans="2:2" ht="42" customHeight="1">
      <c r="B261" s="192"/>
    </row>
    <row r="262" spans="2:2" ht="42" customHeight="1">
      <c r="B262" s="192"/>
    </row>
    <row r="263" spans="2:2" ht="42" customHeight="1">
      <c r="B263" s="192"/>
    </row>
    <row r="264" spans="2:2" ht="42" customHeight="1">
      <c r="B264" s="192"/>
    </row>
    <row r="265" spans="2:2" ht="42" customHeight="1">
      <c r="B265" s="192"/>
    </row>
    <row r="266" spans="2:2" ht="42" customHeight="1">
      <c r="B266" s="192"/>
    </row>
    <row r="267" spans="2:2" ht="42" customHeight="1">
      <c r="B267" s="192"/>
    </row>
    <row r="268" spans="2:2" ht="42" customHeight="1">
      <c r="B268" s="192"/>
    </row>
    <row r="269" spans="2:2" ht="42" customHeight="1">
      <c r="B269" s="192"/>
    </row>
    <row r="270" spans="2:2" ht="42" customHeight="1">
      <c r="B270" s="192"/>
    </row>
    <row r="271" spans="2:2" ht="42" customHeight="1">
      <c r="B271" s="192"/>
    </row>
    <row r="272" spans="2:2" ht="42" customHeight="1">
      <c r="B272" s="192"/>
    </row>
    <row r="273" spans="2:2" ht="42" customHeight="1">
      <c r="B273" s="192"/>
    </row>
    <row r="274" spans="2:2" ht="42" customHeight="1">
      <c r="B274" s="192"/>
    </row>
    <row r="275" spans="2:2" ht="42" customHeight="1">
      <c r="B275" s="192"/>
    </row>
    <row r="276" spans="2:2" ht="42" customHeight="1">
      <c r="B276" s="192"/>
    </row>
    <row r="277" spans="2:2" ht="42" customHeight="1">
      <c r="B277" s="192"/>
    </row>
    <row r="278" spans="2:2" ht="42" customHeight="1">
      <c r="B278" s="192"/>
    </row>
    <row r="279" spans="2:2" ht="42" customHeight="1">
      <c r="B279" s="192"/>
    </row>
    <row r="280" spans="2:2" ht="42" customHeight="1">
      <c r="B280" s="192"/>
    </row>
    <row r="281" spans="2:2" ht="42" customHeight="1">
      <c r="B281" s="192"/>
    </row>
    <row r="282" spans="2:2" ht="42" customHeight="1">
      <c r="B282" s="192"/>
    </row>
    <row r="283" spans="2:2" ht="42" customHeight="1">
      <c r="B283" s="192"/>
    </row>
    <row r="284" spans="2:2" ht="42" customHeight="1">
      <c r="B284" s="192"/>
    </row>
    <row r="285" spans="2:2" ht="42" customHeight="1">
      <c r="B285" s="192"/>
    </row>
    <row r="286" spans="2:2" ht="42" customHeight="1">
      <c r="B286" s="192"/>
    </row>
    <row r="287" spans="2:2" ht="42" customHeight="1">
      <c r="B287" s="192"/>
    </row>
    <row r="288" spans="2:2" ht="42" customHeight="1">
      <c r="B288" s="192"/>
    </row>
    <row r="289" spans="2:2" ht="42" customHeight="1">
      <c r="B289" s="192"/>
    </row>
    <row r="290" spans="2:2" ht="42" customHeight="1">
      <c r="B290" s="192"/>
    </row>
    <row r="291" spans="2:2" ht="42" customHeight="1">
      <c r="B291" s="192"/>
    </row>
    <row r="292" spans="2:2" ht="42" customHeight="1">
      <c r="B292" s="192"/>
    </row>
    <row r="293" spans="2:2" ht="42" customHeight="1">
      <c r="B293" s="192"/>
    </row>
    <row r="294" spans="2:2" ht="42" customHeight="1">
      <c r="B294" s="192"/>
    </row>
    <row r="295" spans="2:2" ht="42" customHeight="1">
      <c r="B295" s="192"/>
    </row>
    <row r="296" spans="2:2" ht="42" customHeight="1">
      <c r="B296" s="192"/>
    </row>
    <row r="297" spans="2:2" ht="42" customHeight="1">
      <c r="B297" s="192"/>
    </row>
    <row r="298" spans="2:2" ht="42" customHeight="1">
      <c r="B298" s="192"/>
    </row>
    <row r="299" spans="2:2" ht="42" customHeight="1">
      <c r="B299" s="192"/>
    </row>
    <row r="300" spans="2:2" ht="42" customHeight="1">
      <c r="B300" s="192"/>
    </row>
    <row r="301" spans="2:2" ht="42" customHeight="1">
      <c r="B301" s="192"/>
    </row>
    <row r="302" spans="2:2" ht="42" customHeight="1">
      <c r="B302" s="192"/>
    </row>
    <row r="303" spans="2:2" ht="42" customHeight="1">
      <c r="B303" s="192"/>
    </row>
    <row r="304" spans="2:2" ht="42" customHeight="1">
      <c r="B304" s="192"/>
    </row>
    <row r="305" spans="2:2" ht="42" customHeight="1">
      <c r="B305" s="192"/>
    </row>
    <row r="306" spans="2:2" ht="42" customHeight="1">
      <c r="B306" s="192"/>
    </row>
    <row r="307" spans="2:2" ht="42" customHeight="1">
      <c r="B307" s="192"/>
    </row>
    <row r="308" spans="2:2" ht="42" customHeight="1">
      <c r="B308" s="192"/>
    </row>
    <row r="309" spans="2:2" ht="42" customHeight="1">
      <c r="B309" s="192"/>
    </row>
    <row r="310" spans="2:2" ht="42" customHeight="1">
      <c r="B310" s="192"/>
    </row>
    <row r="311" spans="2:2" ht="42" customHeight="1">
      <c r="B311" s="192"/>
    </row>
    <row r="312" spans="2:2" ht="42" customHeight="1">
      <c r="B312" s="192"/>
    </row>
    <row r="313" spans="2:2" ht="42" customHeight="1">
      <c r="B313" s="192"/>
    </row>
    <row r="314" spans="2:2" ht="42" customHeight="1">
      <c r="B314" s="192"/>
    </row>
    <row r="315" spans="2:2" ht="42" customHeight="1">
      <c r="B315" s="192"/>
    </row>
    <row r="316" spans="2:2" ht="42" customHeight="1">
      <c r="B316" s="192"/>
    </row>
    <row r="317" spans="2:2" ht="42" customHeight="1">
      <c r="B317" s="192"/>
    </row>
    <row r="318" spans="2:2" ht="42" customHeight="1">
      <c r="B318" s="192"/>
    </row>
    <row r="319" spans="2:2" ht="42" customHeight="1">
      <c r="B319" s="192"/>
    </row>
    <row r="320" spans="2:2" ht="42" customHeight="1">
      <c r="B320" s="192"/>
    </row>
    <row r="321" spans="2:2" ht="42" customHeight="1">
      <c r="B321" s="192"/>
    </row>
    <row r="322" spans="2:2" ht="42" customHeight="1">
      <c r="B322" s="192"/>
    </row>
    <row r="323" spans="2:2" ht="42" customHeight="1">
      <c r="B323" s="192"/>
    </row>
    <row r="324" spans="2:2" ht="42" customHeight="1">
      <c r="B324" s="192"/>
    </row>
    <row r="325" spans="2:2" ht="42" customHeight="1">
      <c r="B325" s="192"/>
    </row>
    <row r="326" spans="2:2" ht="42" customHeight="1">
      <c r="B326" s="192"/>
    </row>
    <row r="327" spans="2:2" ht="42" customHeight="1">
      <c r="B327" s="192"/>
    </row>
    <row r="328" spans="2:2" ht="42" customHeight="1">
      <c r="B328" s="192"/>
    </row>
    <row r="329" spans="2:2" ht="42" customHeight="1">
      <c r="B329" s="192"/>
    </row>
    <row r="330" spans="2:2" ht="42" customHeight="1">
      <c r="B330" s="192"/>
    </row>
    <row r="331" spans="2:2" ht="42" customHeight="1">
      <c r="B331" s="192"/>
    </row>
    <row r="332" spans="2:2" ht="42" customHeight="1">
      <c r="B332" s="192"/>
    </row>
    <row r="333" spans="2:2" ht="42" customHeight="1">
      <c r="B333" s="192"/>
    </row>
    <row r="334" spans="2:2" ht="42" customHeight="1">
      <c r="B334" s="192"/>
    </row>
    <row r="335" spans="2:2" ht="42" customHeight="1">
      <c r="B335" s="192"/>
    </row>
    <row r="336" spans="2:2" ht="42" customHeight="1">
      <c r="B336" s="192"/>
    </row>
    <row r="337" spans="2:2" ht="42" customHeight="1">
      <c r="B337" s="192"/>
    </row>
    <row r="338" spans="2:2" ht="42" customHeight="1">
      <c r="B338" s="192"/>
    </row>
    <row r="339" spans="2:2" ht="42" customHeight="1">
      <c r="B339" s="192"/>
    </row>
    <row r="340" spans="2:2" ht="42" customHeight="1">
      <c r="B340" s="192"/>
    </row>
    <row r="341" spans="2:2" ht="42" customHeight="1">
      <c r="B341" s="192"/>
    </row>
    <row r="342" spans="2:2" ht="42" customHeight="1">
      <c r="B342" s="192"/>
    </row>
    <row r="343" spans="2:2" ht="42" customHeight="1">
      <c r="B343" s="192"/>
    </row>
    <row r="344" spans="2:2" ht="42" customHeight="1">
      <c r="B344" s="192"/>
    </row>
    <row r="345" spans="2:2" ht="42" customHeight="1">
      <c r="B345" s="192"/>
    </row>
    <row r="346" spans="2:2" ht="42" customHeight="1">
      <c r="B346" s="192"/>
    </row>
    <row r="347" spans="2:2" ht="42" customHeight="1">
      <c r="B347" s="192"/>
    </row>
    <row r="348" spans="2:2" ht="42" customHeight="1">
      <c r="B348" s="192"/>
    </row>
    <row r="349" spans="2:2" ht="42" customHeight="1">
      <c r="B349" s="192"/>
    </row>
    <row r="350" spans="2:2" ht="42" customHeight="1">
      <c r="B350" s="192"/>
    </row>
    <row r="351" spans="2:2" ht="42" customHeight="1">
      <c r="B351" s="192"/>
    </row>
    <row r="352" spans="2:2" ht="42" customHeight="1">
      <c r="B352" s="192"/>
    </row>
    <row r="353" spans="2:2" ht="42" customHeight="1">
      <c r="B353" s="192"/>
    </row>
    <row r="354" spans="2:2" ht="42" customHeight="1">
      <c r="B354" s="192"/>
    </row>
    <row r="355" spans="2:2" ht="42" customHeight="1">
      <c r="B355" s="192"/>
    </row>
    <row r="356" spans="2:2" ht="42" customHeight="1">
      <c r="B356" s="192"/>
    </row>
    <row r="357" spans="2:2" ht="42" customHeight="1">
      <c r="B357" s="192"/>
    </row>
    <row r="358" spans="2:2" ht="42" customHeight="1">
      <c r="B358" s="192"/>
    </row>
    <row r="359" spans="2:2" ht="42" customHeight="1">
      <c r="B359" s="192"/>
    </row>
    <row r="360" spans="2:2" ht="42" customHeight="1">
      <c r="B360" s="192"/>
    </row>
    <row r="361" spans="2:2" ht="42" customHeight="1">
      <c r="B361" s="192"/>
    </row>
    <row r="362" spans="2:2" ht="42" customHeight="1">
      <c r="B362" s="192"/>
    </row>
    <row r="363" spans="2:2" ht="42" customHeight="1">
      <c r="B363" s="192"/>
    </row>
    <row r="364" spans="2:2" ht="42" customHeight="1">
      <c r="B364" s="192"/>
    </row>
    <row r="365" spans="2:2" ht="42" customHeight="1">
      <c r="B365" s="192"/>
    </row>
    <row r="366" spans="2:2" ht="42" customHeight="1">
      <c r="B366" s="192"/>
    </row>
    <row r="367" spans="2:2" ht="42" customHeight="1">
      <c r="B367" s="192"/>
    </row>
    <row r="368" spans="2:2" ht="42" customHeight="1">
      <c r="B368" s="192"/>
    </row>
    <row r="369" spans="2:2" ht="42" customHeight="1">
      <c r="B369" s="192"/>
    </row>
    <row r="370" spans="2:2" ht="42" customHeight="1">
      <c r="B370" s="192"/>
    </row>
    <row r="371" spans="2:2" ht="42" customHeight="1">
      <c r="B371" s="192"/>
    </row>
    <row r="372" spans="2:2" ht="42" customHeight="1">
      <c r="B372" s="192"/>
    </row>
    <row r="373" spans="2:2" ht="42" customHeight="1">
      <c r="B373" s="192"/>
    </row>
    <row r="374" spans="2:2" ht="42" customHeight="1">
      <c r="B374" s="192"/>
    </row>
    <row r="375" spans="2:2" ht="42" customHeight="1">
      <c r="B375" s="192"/>
    </row>
    <row r="376" spans="2:2" ht="42" customHeight="1">
      <c r="B376" s="192"/>
    </row>
    <row r="377" spans="2:2" ht="42" customHeight="1">
      <c r="B377" s="192"/>
    </row>
    <row r="378" spans="2:2" ht="42" customHeight="1">
      <c r="B378" s="192"/>
    </row>
    <row r="379" spans="2:2" ht="42" customHeight="1">
      <c r="B379" s="192"/>
    </row>
    <row r="380" spans="2:2" ht="42" customHeight="1">
      <c r="B380" s="192"/>
    </row>
    <row r="381" spans="2:2" ht="42" customHeight="1">
      <c r="B381" s="192"/>
    </row>
    <row r="382" spans="2:2" ht="42" customHeight="1">
      <c r="B382" s="192"/>
    </row>
    <row r="383" spans="2:2" ht="42" customHeight="1">
      <c r="B383" s="192"/>
    </row>
    <row r="384" spans="2:2" ht="42" customHeight="1">
      <c r="B384" s="192"/>
    </row>
    <row r="385" spans="2:2" ht="42" customHeight="1">
      <c r="B385" s="192"/>
    </row>
    <row r="386" spans="2:2" ht="42" customHeight="1">
      <c r="B386" s="192"/>
    </row>
    <row r="387" spans="2:2" ht="42" customHeight="1">
      <c r="B387" s="192"/>
    </row>
    <row r="388" spans="2:2" ht="42" customHeight="1">
      <c r="B388" s="192"/>
    </row>
    <row r="389" spans="2:2" ht="42" customHeight="1">
      <c r="B389" s="192"/>
    </row>
    <row r="390" spans="2:2" ht="42" customHeight="1">
      <c r="B390" s="192"/>
    </row>
    <row r="391" spans="2:2" ht="42" customHeight="1">
      <c r="B391" s="192"/>
    </row>
    <row r="392" spans="2:2" ht="42" customHeight="1">
      <c r="B392" s="192"/>
    </row>
    <row r="393" spans="2:2" ht="42" customHeight="1">
      <c r="B393" s="192"/>
    </row>
    <row r="394" spans="2:2" ht="42" customHeight="1">
      <c r="B394" s="192"/>
    </row>
    <row r="395" spans="2:2" ht="42" customHeight="1">
      <c r="B395" s="192"/>
    </row>
    <row r="396" spans="2:2" ht="42" customHeight="1">
      <c r="B396" s="192"/>
    </row>
    <row r="397" spans="2:2" ht="42" customHeight="1">
      <c r="B397" s="192"/>
    </row>
    <row r="398" spans="2:2" ht="42" customHeight="1">
      <c r="B398" s="192"/>
    </row>
    <row r="399" spans="2:2" ht="42" customHeight="1">
      <c r="B399" s="192"/>
    </row>
    <row r="400" spans="2:2" ht="42" customHeight="1">
      <c r="B400" s="192"/>
    </row>
    <row r="401" spans="2:2" ht="42" customHeight="1">
      <c r="B401" s="192"/>
    </row>
    <row r="402" spans="2:2" ht="42" customHeight="1">
      <c r="B402" s="192"/>
    </row>
    <row r="403" spans="2:2" ht="42" customHeight="1">
      <c r="B403" s="192"/>
    </row>
    <row r="404" spans="2:2" ht="42" customHeight="1">
      <c r="B404" s="192"/>
    </row>
    <row r="405" spans="2:2" ht="42" customHeight="1">
      <c r="B405" s="192"/>
    </row>
    <row r="406" spans="2:2" ht="42" customHeight="1">
      <c r="B406" s="192"/>
    </row>
    <row r="407" spans="2:2" ht="42" customHeight="1">
      <c r="B407" s="192"/>
    </row>
    <row r="408" spans="2:2" ht="42" customHeight="1">
      <c r="B408" s="192"/>
    </row>
    <row r="409" spans="2:2" ht="42" customHeight="1">
      <c r="B409" s="192"/>
    </row>
    <row r="410" spans="2:2" ht="42" customHeight="1">
      <c r="B410" s="192"/>
    </row>
    <row r="411" spans="2:2" ht="42" customHeight="1">
      <c r="B411" s="192"/>
    </row>
    <row r="412" spans="2:2" ht="42" customHeight="1">
      <c r="B412" s="192"/>
    </row>
    <row r="413" spans="2:2" ht="42" customHeight="1">
      <c r="B413" s="192"/>
    </row>
    <row r="414" spans="2:2" ht="42" customHeight="1">
      <c r="B414" s="192"/>
    </row>
    <row r="415" spans="2:2" ht="42" customHeight="1">
      <c r="B415" s="192"/>
    </row>
    <row r="416" spans="2:2" ht="42" customHeight="1">
      <c r="B416" s="192"/>
    </row>
    <row r="417" spans="2:2" ht="42" customHeight="1">
      <c r="B417" s="192"/>
    </row>
    <row r="418" spans="2:2" ht="42" customHeight="1">
      <c r="B418" s="192"/>
    </row>
    <row r="419" spans="2:2" ht="42" customHeight="1">
      <c r="B419" s="192"/>
    </row>
    <row r="420" spans="2:2" ht="42" customHeight="1">
      <c r="B420" s="192"/>
    </row>
    <row r="421" spans="2:2" ht="42" customHeight="1">
      <c r="B421" s="192"/>
    </row>
    <row r="422" spans="2:2" ht="42" customHeight="1">
      <c r="B422" s="192"/>
    </row>
    <row r="423" spans="2:2" ht="42" customHeight="1">
      <c r="B423" s="192"/>
    </row>
    <row r="424" spans="2:2" ht="42" customHeight="1">
      <c r="B424" s="192"/>
    </row>
    <row r="425" spans="2:2" ht="42" customHeight="1">
      <c r="B425" s="192"/>
    </row>
    <row r="426" spans="2:2" ht="42" customHeight="1">
      <c r="B426" s="192"/>
    </row>
    <row r="427" spans="2:2" ht="42" customHeight="1">
      <c r="B427" s="192"/>
    </row>
    <row r="428" spans="2:2" ht="42" customHeight="1">
      <c r="B428" s="192"/>
    </row>
    <row r="429" spans="2:2" ht="42" customHeight="1">
      <c r="B429" s="192"/>
    </row>
    <row r="430" spans="2:2" ht="42" customHeight="1">
      <c r="B430" s="192"/>
    </row>
    <row r="431" spans="2:2" ht="42" customHeight="1">
      <c r="B431" s="192"/>
    </row>
    <row r="432" spans="2:2" ht="42" customHeight="1">
      <c r="B432" s="192"/>
    </row>
    <row r="433" spans="2:2" ht="42" customHeight="1">
      <c r="B433" s="192"/>
    </row>
    <row r="434" spans="2:2" ht="42" customHeight="1">
      <c r="B434" s="192"/>
    </row>
    <row r="435" spans="2:2" ht="42" customHeight="1">
      <c r="B435" s="192"/>
    </row>
    <row r="436" spans="2:2" ht="42" customHeight="1">
      <c r="B436" s="192"/>
    </row>
    <row r="437" spans="2:2" ht="42" customHeight="1">
      <c r="B437" s="192"/>
    </row>
    <row r="438" spans="2:2" ht="42" customHeight="1">
      <c r="B438" s="192"/>
    </row>
    <row r="439" spans="2:2" ht="42" customHeight="1">
      <c r="B439" s="192"/>
    </row>
    <row r="440" spans="2:2" ht="42" customHeight="1">
      <c r="B440" s="192"/>
    </row>
    <row r="441" spans="2:2" ht="42" customHeight="1">
      <c r="B441" s="192"/>
    </row>
    <row r="442" spans="2:2" ht="42" customHeight="1">
      <c r="B442" s="192"/>
    </row>
    <row r="443" spans="2:2" ht="42" customHeight="1">
      <c r="B443" s="192"/>
    </row>
    <row r="444" spans="2:2" ht="42" customHeight="1">
      <c r="B444" s="192"/>
    </row>
    <row r="445" spans="2:2" ht="42" customHeight="1">
      <c r="B445" s="192"/>
    </row>
    <row r="446" spans="2:2" ht="42" customHeight="1">
      <c r="B446" s="192"/>
    </row>
    <row r="447" spans="2:2" ht="42" customHeight="1">
      <c r="B447" s="192"/>
    </row>
    <row r="448" spans="2:2" ht="42" customHeight="1">
      <c r="B448" s="192"/>
    </row>
    <row r="449" spans="2:2" ht="42" customHeight="1">
      <c r="B449" s="192"/>
    </row>
    <row r="450" spans="2:2" ht="42" customHeight="1">
      <c r="B450" s="192"/>
    </row>
    <row r="451" spans="2:2" ht="42" customHeight="1">
      <c r="B451" s="192"/>
    </row>
    <row r="452" spans="2:2" ht="42" customHeight="1">
      <c r="B452" s="192"/>
    </row>
    <row r="453" spans="2:2" ht="42" customHeight="1">
      <c r="B453" s="192"/>
    </row>
    <row r="454" spans="2:2" ht="42" customHeight="1">
      <c r="B454" s="192"/>
    </row>
    <row r="455" spans="2:2" ht="42" customHeight="1">
      <c r="B455" s="192"/>
    </row>
    <row r="456" spans="2:2" ht="42" customHeight="1">
      <c r="B456" s="192"/>
    </row>
    <row r="457" spans="2:2" ht="42" customHeight="1">
      <c r="B457" s="192"/>
    </row>
    <row r="458" spans="2:2" ht="42" customHeight="1">
      <c r="B458" s="192"/>
    </row>
    <row r="459" spans="2:2" ht="42" customHeight="1">
      <c r="B459" s="192"/>
    </row>
    <row r="460" spans="2:2" ht="42" customHeight="1">
      <c r="B460" s="192"/>
    </row>
    <row r="461" spans="2:2" ht="42" customHeight="1">
      <c r="B461" s="192"/>
    </row>
    <row r="462" spans="2:2" ht="42" customHeight="1">
      <c r="B462" s="192"/>
    </row>
    <row r="463" spans="2:2" ht="42" customHeight="1">
      <c r="B463" s="192"/>
    </row>
    <row r="464" spans="2:2" ht="42" customHeight="1">
      <c r="B464" s="192"/>
    </row>
    <row r="465" spans="2:2" ht="42" customHeight="1">
      <c r="B465" s="192"/>
    </row>
    <row r="466" spans="2:2" ht="42" customHeight="1">
      <c r="B466" s="192"/>
    </row>
    <row r="467" spans="2:2" ht="42" customHeight="1">
      <c r="B467" s="192"/>
    </row>
    <row r="468" spans="2:2" ht="42" customHeight="1">
      <c r="B468" s="192"/>
    </row>
    <row r="469" spans="2:2" ht="42" customHeight="1">
      <c r="B469" s="192"/>
    </row>
    <row r="470" spans="2:2" ht="42" customHeight="1">
      <c r="B470" s="192"/>
    </row>
    <row r="471" spans="2:2" ht="42" customHeight="1">
      <c r="B471" s="192"/>
    </row>
    <row r="472" spans="2:2" ht="42" customHeight="1">
      <c r="B472" s="192"/>
    </row>
    <row r="473" spans="2:2" ht="42" customHeight="1">
      <c r="B473" s="192"/>
    </row>
    <row r="474" spans="2:2" ht="42" customHeight="1">
      <c r="B474" s="192"/>
    </row>
    <row r="475" spans="2:2" ht="42" customHeight="1">
      <c r="B475" s="192"/>
    </row>
    <row r="476" spans="2:2" ht="42" customHeight="1">
      <c r="B476" s="192"/>
    </row>
    <row r="477" spans="2:2" ht="42" customHeight="1">
      <c r="B477" s="192"/>
    </row>
    <row r="478" spans="2:2" ht="42" customHeight="1">
      <c r="B478" s="192"/>
    </row>
    <row r="479" spans="2:2" ht="42" customHeight="1">
      <c r="B479" s="192"/>
    </row>
    <row r="480" spans="2:2" ht="42" customHeight="1">
      <c r="B480" s="192"/>
    </row>
    <row r="481" spans="2:2" ht="42" customHeight="1">
      <c r="B481" s="192"/>
    </row>
    <row r="482" spans="2:2" ht="42" customHeight="1">
      <c r="B482" s="192"/>
    </row>
    <row r="483" spans="2:2" ht="42" customHeight="1">
      <c r="B483" s="192"/>
    </row>
    <row r="484" spans="2:2" ht="42" customHeight="1">
      <c r="B484" s="192"/>
    </row>
    <row r="485" spans="2:2" ht="42" customHeight="1">
      <c r="B485" s="192"/>
    </row>
    <row r="486" spans="2:2" ht="42" customHeight="1">
      <c r="B486" s="192"/>
    </row>
    <row r="487" spans="2:2" ht="42" customHeight="1">
      <c r="B487" s="192"/>
    </row>
    <row r="488" spans="2:2" ht="42" customHeight="1">
      <c r="B488" s="192"/>
    </row>
    <row r="489" spans="2:2" ht="42" customHeight="1">
      <c r="B489" s="192"/>
    </row>
    <row r="490" spans="2:2" ht="42" customHeight="1">
      <c r="B490" s="192"/>
    </row>
    <row r="491" spans="2:2" ht="42" customHeight="1">
      <c r="B491" s="192"/>
    </row>
    <row r="492" spans="2:2" ht="42" customHeight="1">
      <c r="B492" s="192"/>
    </row>
    <row r="493" spans="2:2" ht="42" customHeight="1">
      <c r="B493" s="192"/>
    </row>
    <row r="494" spans="2:2" ht="42" customHeight="1">
      <c r="B494" s="192"/>
    </row>
    <row r="495" spans="2:2" ht="42" customHeight="1">
      <c r="B495" s="192"/>
    </row>
    <row r="496" spans="2:2" ht="42" customHeight="1">
      <c r="B496" s="192"/>
    </row>
    <row r="497" spans="2:2" ht="42" customHeight="1">
      <c r="B497" s="192"/>
    </row>
    <row r="498" spans="2:2" ht="42" customHeight="1">
      <c r="B498" s="192"/>
    </row>
    <row r="499" spans="2:2" ht="42" customHeight="1">
      <c r="B499" s="192"/>
    </row>
    <row r="500" spans="2:2" ht="42" customHeight="1">
      <c r="B500" s="192"/>
    </row>
    <row r="501" spans="2:2" ht="42" customHeight="1">
      <c r="B501" s="192"/>
    </row>
    <row r="502" spans="2:2" ht="42" customHeight="1">
      <c r="B502" s="192"/>
    </row>
    <row r="503" spans="2:2" ht="42" customHeight="1">
      <c r="B503" s="192"/>
    </row>
    <row r="504" spans="2:2" ht="42" customHeight="1">
      <c r="B504" s="192"/>
    </row>
    <row r="505" spans="2:2" ht="42" customHeight="1">
      <c r="B505" s="192"/>
    </row>
    <row r="506" spans="2:2" ht="42" customHeight="1">
      <c r="B506" s="192"/>
    </row>
    <row r="507" spans="2:2" ht="42" customHeight="1">
      <c r="B507" s="192"/>
    </row>
    <row r="508" spans="2:2" ht="42" customHeight="1">
      <c r="B508" s="192"/>
    </row>
    <row r="509" spans="2:2" ht="42" customHeight="1">
      <c r="B509" s="192"/>
    </row>
    <row r="510" spans="2:2" ht="42" customHeight="1">
      <c r="B510" s="192"/>
    </row>
    <row r="511" spans="2:2" ht="42" customHeight="1">
      <c r="B511" s="192"/>
    </row>
    <row r="512" spans="2:2" ht="42" customHeight="1">
      <c r="B512" s="192"/>
    </row>
    <row r="513" spans="2:2" ht="42" customHeight="1">
      <c r="B513" s="192"/>
    </row>
    <row r="514" spans="2:2" ht="42" customHeight="1">
      <c r="B514" s="192"/>
    </row>
    <row r="515" spans="2:2" ht="42" customHeight="1">
      <c r="B515" s="192"/>
    </row>
    <row r="516" spans="2:2" ht="42" customHeight="1">
      <c r="B516" s="192"/>
    </row>
    <row r="517" spans="2:2" ht="42" customHeight="1">
      <c r="B517" s="192"/>
    </row>
    <row r="518" spans="2:2" ht="42" customHeight="1">
      <c r="B518" s="192"/>
    </row>
    <row r="519" spans="2:2" ht="42" customHeight="1">
      <c r="B519" s="192"/>
    </row>
    <row r="520" spans="2:2" ht="42" customHeight="1">
      <c r="B520" s="192"/>
    </row>
    <row r="521" spans="2:2" ht="42" customHeight="1">
      <c r="B521" s="192"/>
    </row>
    <row r="522" spans="2:2" ht="42" customHeight="1">
      <c r="B522" s="192"/>
    </row>
    <row r="523" spans="2:2" ht="42" customHeight="1">
      <c r="B523" s="192"/>
    </row>
    <row r="524" spans="2:2" ht="42" customHeight="1">
      <c r="B524" s="192"/>
    </row>
    <row r="525" spans="2:2" ht="42" customHeight="1">
      <c r="B525" s="192"/>
    </row>
    <row r="526" spans="2:2" ht="42" customHeight="1">
      <c r="B526" s="192"/>
    </row>
    <row r="527" spans="2:2" ht="42" customHeight="1">
      <c r="B527" s="192"/>
    </row>
    <row r="528" spans="2:2" ht="42" customHeight="1">
      <c r="B528" s="192"/>
    </row>
    <row r="529" spans="2:2" ht="42" customHeight="1">
      <c r="B529" s="192"/>
    </row>
    <row r="530" spans="2:2" ht="42" customHeight="1">
      <c r="B530" s="192"/>
    </row>
    <row r="531" spans="2:2" ht="42" customHeight="1">
      <c r="B531" s="192"/>
    </row>
    <row r="532" spans="2:2" ht="42" customHeight="1">
      <c r="B532" s="192"/>
    </row>
    <row r="533" spans="2:2" ht="42" customHeight="1">
      <c r="B533" s="192"/>
    </row>
    <row r="534" spans="2:2" ht="42" customHeight="1">
      <c r="B534" s="192"/>
    </row>
    <row r="535" spans="2:2" ht="42" customHeight="1">
      <c r="B535" s="192"/>
    </row>
    <row r="536" spans="2:2" ht="42" customHeight="1">
      <c r="B536" s="192"/>
    </row>
    <row r="537" spans="2:2" ht="42" customHeight="1">
      <c r="B537" s="192"/>
    </row>
    <row r="538" spans="2:2" ht="42" customHeight="1">
      <c r="B538" s="192"/>
    </row>
    <row r="539" spans="2:2" ht="42" customHeight="1">
      <c r="B539" s="192"/>
    </row>
    <row r="540" spans="2:2" ht="42" customHeight="1">
      <c r="B540" s="192"/>
    </row>
    <row r="541" spans="2:2" ht="42" customHeight="1">
      <c r="B541" s="192"/>
    </row>
    <row r="542" spans="2:2" ht="42" customHeight="1">
      <c r="B542" s="192"/>
    </row>
    <row r="543" spans="2:2" ht="42" customHeight="1">
      <c r="B543" s="192"/>
    </row>
    <row r="544" spans="2:2" ht="42" customHeight="1">
      <c r="B544" s="192"/>
    </row>
    <row r="545" spans="2:2" ht="42" customHeight="1">
      <c r="B545" s="192"/>
    </row>
    <row r="546" spans="2:2" ht="42" customHeight="1">
      <c r="B546" s="192"/>
    </row>
    <row r="547" spans="2:2" ht="42" customHeight="1">
      <c r="B547" s="192"/>
    </row>
    <row r="548" spans="2:2" ht="42" customHeight="1">
      <c r="B548" s="192"/>
    </row>
    <row r="549" spans="2:2" ht="42" customHeight="1">
      <c r="B549" s="192"/>
    </row>
    <row r="550" spans="2:2" ht="42" customHeight="1">
      <c r="B550" s="192"/>
    </row>
    <row r="551" spans="2:2" ht="42" customHeight="1">
      <c r="B551" s="192"/>
    </row>
    <row r="552" spans="2:2" ht="42" customHeight="1">
      <c r="B552" s="192"/>
    </row>
    <row r="553" spans="2:2" ht="42" customHeight="1">
      <c r="B553" s="192"/>
    </row>
    <row r="554" spans="2:2" ht="42" customHeight="1">
      <c r="B554" s="192"/>
    </row>
    <row r="555" spans="2:2" ht="42" customHeight="1">
      <c r="B555" s="192"/>
    </row>
    <row r="556" spans="2:2" ht="42" customHeight="1">
      <c r="B556" s="192"/>
    </row>
    <row r="557" spans="2:2" ht="42" customHeight="1">
      <c r="B557" s="192"/>
    </row>
    <row r="558" spans="2:2" ht="42" customHeight="1">
      <c r="B558" s="192"/>
    </row>
    <row r="559" spans="2:2" ht="42" customHeight="1">
      <c r="B559" s="192"/>
    </row>
    <row r="560" spans="2:2" ht="42" customHeight="1">
      <c r="B560" s="192"/>
    </row>
    <row r="561" spans="2:2" ht="42" customHeight="1">
      <c r="B561" s="192"/>
    </row>
    <row r="562" spans="2:2" ht="42" customHeight="1">
      <c r="B562" s="192"/>
    </row>
    <row r="563" spans="2:2" ht="42" customHeight="1">
      <c r="B563" s="192"/>
    </row>
    <row r="564" spans="2:2" ht="42" customHeight="1">
      <c r="B564" s="192"/>
    </row>
    <row r="565" spans="2:2" ht="42" customHeight="1">
      <c r="B565" s="192"/>
    </row>
    <row r="566" spans="2:2" ht="42" customHeight="1">
      <c r="B566" s="192"/>
    </row>
    <row r="567" spans="2:2" ht="42" customHeight="1">
      <c r="B567" s="192"/>
    </row>
    <row r="568" spans="2:2" ht="42" customHeight="1">
      <c r="B568" s="192"/>
    </row>
    <row r="569" spans="2:2" ht="42" customHeight="1">
      <c r="B569" s="192"/>
    </row>
    <row r="570" spans="2:2" ht="42" customHeight="1">
      <c r="B570" s="192"/>
    </row>
    <row r="571" spans="2:2" ht="42" customHeight="1">
      <c r="B571" s="192"/>
    </row>
    <row r="572" spans="2:2" ht="42" customHeight="1">
      <c r="B572" s="192"/>
    </row>
    <row r="573" spans="2:2" ht="42" customHeight="1">
      <c r="B573" s="192"/>
    </row>
    <row r="574" spans="2:2" ht="42" customHeight="1">
      <c r="B574" s="192"/>
    </row>
    <row r="575" spans="2:2" ht="42" customHeight="1">
      <c r="B575" s="192"/>
    </row>
    <row r="576" spans="2:2" ht="42" customHeight="1">
      <c r="B576" s="192"/>
    </row>
    <row r="577" spans="2:2" ht="42" customHeight="1">
      <c r="B577" s="192"/>
    </row>
    <row r="578" spans="2:2" ht="42" customHeight="1">
      <c r="B578" s="192"/>
    </row>
    <row r="579" spans="2:2" ht="42" customHeight="1">
      <c r="B579" s="192"/>
    </row>
    <row r="580" spans="2:2" ht="42" customHeight="1">
      <c r="B580" s="192"/>
    </row>
    <row r="581" spans="2:2" ht="42" customHeight="1">
      <c r="B581" s="192"/>
    </row>
    <row r="582" spans="2:2" ht="42" customHeight="1">
      <c r="B582" s="192"/>
    </row>
    <row r="583" spans="2:2" ht="42" customHeight="1">
      <c r="B583" s="192"/>
    </row>
    <row r="584" spans="2:2" ht="42" customHeight="1">
      <c r="B584" s="192"/>
    </row>
    <row r="585" spans="2:2" ht="42" customHeight="1">
      <c r="B585" s="192"/>
    </row>
    <row r="586" spans="2:2" ht="42" customHeight="1">
      <c r="B586" s="192"/>
    </row>
    <row r="587" spans="2:2" ht="42" customHeight="1">
      <c r="B587" s="192"/>
    </row>
    <row r="588" spans="2:2" ht="42" customHeight="1">
      <c r="B588" s="192"/>
    </row>
    <row r="589" spans="2:2" ht="42" customHeight="1">
      <c r="B589" s="192"/>
    </row>
    <row r="590" spans="2:2" ht="42" customHeight="1">
      <c r="B590" s="192"/>
    </row>
    <row r="591" spans="2:2" ht="42" customHeight="1">
      <c r="B591" s="192"/>
    </row>
    <row r="592" spans="2:2" ht="42" customHeight="1">
      <c r="B592" s="192"/>
    </row>
    <row r="593" spans="2:2" ht="42" customHeight="1">
      <c r="B593" s="192"/>
    </row>
    <row r="594" spans="2:2" ht="42" customHeight="1">
      <c r="B594" s="192"/>
    </row>
    <row r="595" spans="2:2" ht="42" customHeight="1">
      <c r="B595" s="192"/>
    </row>
    <row r="596" spans="2:2" ht="42" customHeight="1">
      <c r="B596" s="192"/>
    </row>
    <row r="597" spans="2:2" ht="42" customHeight="1">
      <c r="B597" s="192"/>
    </row>
    <row r="598" spans="2:2" ht="42" customHeight="1">
      <c r="B598" s="192"/>
    </row>
    <row r="599" spans="2:2" ht="42" customHeight="1">
      <c r="B599" s="192"/>
    </row>
    <row r="600" spans="2:2" ht="42" customHeight="1">
      <c r="B600" s="192"/>
    </row>
    <row r="601" spans="2:2" ht="42" customHeight="1">
      <c r="B601" s="192"/>
    </row>
    <row r="602" spans="2:2" ht="42" customHeight="1">
      <c r="B602" s="192"/>
    </row>
    <row r="603" spans="2:2" ht="42" customHeight="1">
      <c r="B603" s="192"/>
    </row>
    <row r="604" spans="2:2" ht="42" customHeight="1">
      <c r="B604" s="192"/>
    </row>
    <row r="605" spans="2:2" ht="42" customHeight="1">
      <c r="B605" s="192"/>
    </row>
    <row r="606" spans="2:2" ht="42" customHeight="1">
      <c r="B606" s="192"/>
    </row>
    <row r="607" spans="2:2" ht="42" customHeight="1">
      <c r="B607" s="192"/>
    </row>
    <row r="608" spans="2:2" ht="42" customHeight="1">
      <c r="B608" s="192"/>
    </row>
    <row r="609" spans="2:2" ht="42" customHeight="1">
      <c r="B609" s="192"/>
    </row>
    <row r="610" spans="2:2" ht="42" customHeight="1">
      <c r="B610" s="192"/>
    </row>
    <row r="611" spans="2:2" ht="42" customHeight="1">
      <c r="B611" s="192"/>
    </row>
    <row r="612" spans="2:2" ht="42" customHeight="1">
      <c r="B612" s="192"/>
    </row>
    <row r="613" spans="2:2" ht="42" customHeight="1">
      <c r="B613" s="192"/>
    </row>
    <row r="614" spans="2:2" ht="42" customHeight="1">
      <c r="B614" s="192"/>
    </row>
    <row r="615" spans="2:2" ht="42" customHeight="1">
      <c r="B615" s="192"/>
    </row>
    <row r="616" spans="2:2" ht="42" customHeight="1">
      <c r="B616" s="192"/>
    </row>
    <row r="617" spans="2:2" ht="42" customHeight="1">
      <c r="B617" s="192"/>
    </row>
    <row r="618" spans="2:2" ht="42" customHeight="1">
      <c r="B618" s="192"/>
    </row>
    <row r="619" spans="2:2" ht="42" customHeight="1">
      <c r="B619" s="192"/>
    </row>
    <row r="620" spans="2:2" ht="42" customHeight="1">
      <c r="B620" s="192"/>
    </row>
    <row r="621" spans="2:2" ht="42" customHeight="1">
      <c r="B621" s="192"/>
    </row>
    <row r="622" spans="2:2" ht="42" customHeight="1">
      <c r="B622" s="192"/>
    </row>
  </sheetData>
  <autoFilter ref="B1:AC111" xr:uid="{00000000-0009-0000-0000-000000000000}">
    <filterColumn colId="17">
      <filters blank="1">
        <filter val="1,000"/>
        <filter val="10,000"/>
        <filter val="100"/>
        <filter val="1000"/>
        <filter val="10000"/>
        <filter val="15,000"/>
        <filter val="150"/>
        <filter val="1500"/>
        <filter val="15000"/>
        <filter val="15120"/>
        <filter val="15180"/>
        <filter val="15200"/>
        <filter val="16,000"/>
        <filter val="1700"/>
        <filter val="180000"/>
        <filter val="2,500"/>
        <filter val="20,000"/>
        <filter val="200"/>
        <filter val="2000"/>
        <filter val="250"/>
        <filter val="2500"/>
        <filter val="28"/>
        <filter val="30"/>
        <filter val="300"/>
        <filter val="3000"/>
        <filter val="3000000"/>
        <filter val="350"/>
        <filter val="3500"/>
        <filter val="35000"/>
        <filter val="400"/>
        <filter val="4000"/>
        <filter val="5,000"/>
        <filter val="500"/>
        <filter val="5000"/>
        <filter val="6,000"/>
        <filter val="6000"/>
        <filter val="72,000"/>
        <filter val="7200"/>
        <filter val="75"/>
        <filter val="750"/>
        <filter val="8"/>
        <filter val="80000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Jan.Feb.2025 </vt:lpstr>
      <vt:lpstr>March .2025 </vt:lpstr>
      <vt:lpstr>April.2025</vt:lpstr>
      <vt:lpstr>Jan.Feb.2025 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Ranjbar</dc:creator>
  <cp:lastModifiedBy>Sara Forouzandeh</cp:lastModifiedBy>
  <dcterms:created xsi:type="dcterms:W3CDTF">2024-11-18T09:22:35Z</dcterms:created>
  <dcterms:modified xsi:type="dcterms:W3CDTF">2025-05-04T09:33:50Z</dcterms:modified>
</cp:coreProperties>
</file>